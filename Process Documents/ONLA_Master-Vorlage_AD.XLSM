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S:\SRV\A2142_Corporate_IT\A2142_IT-Services\0015 - Evento\Betrieb\_Doku\ONLA\"/>
    </mc:Choice>
  </mc:AlternateContent>
  <bookViews>
    <workbookView xWindow="5715" yWindow="90" windowWidth="3525" windowHeight="915" tabRatio="419"/>
  </bookViews>
  <sheets>
    <sheet name="RL_Vorlage_DE_EN_09.08.2017" sheetId="25" r:id="rId1"/>
    <sheet name="AnmeldeVSS-Attribute" sheetId="3" r:id="rId2"/>
  </sheets>
  <externalReferences>
    <externalReference r:id="rId3"/>
    <externalReference r:id="rId4"/>
  </externalReferences>
  <definedNames>
    <definedName name="_xlnm._FilterDatabase" localSheetId="0" hidden="1">RL_Vorlage_DE_EN_09.08.2017!$A$5:$S$279</definedName>
    <definedName name="asas">'AnmeldeVSS-Attribute'!$A$20:$A$27</definedName>
    <definedName name="IDAnlass" localSheetId="0">RL_Vorlage_DE_EN_09.08.2017!$J$2</definedName>
    <definedName name="IDAnlass">#REF!</definedName>
    <definedName name="IDBenutzer" localSheetId="0">RL_Vorlage_DE_EN_09.08.2017!$Q$2</definedName>
    <definedName name="IDBenutzer">#REF!</definedName>
    <definedName name="lstFarbe">'AnmeldeVSS-Attribute'!$A$20:$A$27</definedName>
    <definedName name="SchwarzFlieder">'[1]AnmeldeVSS-Attribute'!$A$20:$A$27</definedName>
    <definedName name="x" localSheetId="0">RL_Vorlage_DE_EN_09.08.2017!$J$2</definedName>
    <definedName name="x">#REF!</definedName>
    <definedName name="y" localSheetId="0">RL_Vorlage_DE_EN_09.08.2017!$Q$2</definedName>
    <definedName name="y">#REF!</definedName>
    <definedName name="Z_3578C246_5799_4D3C_99B9_EF32BD7E5811_.wvu.Cols" localSheetId="0" hidden="1">RL_Vorlage_DE_EN_09.08.2017!$AK:$XFD</definedName>
    <definedName name="Z_3578C246_5799_4D3C_99B9_EF32BD7E5811_.wvu.FilterData" localSheetId="0" hidden="1">RL_Vorlage_DE_EN_09.08.2017!$A$5:$AJ$202</definedName>
  </definedNames>
  <calcPr calcId="162913"/>
  <customWorkbookViews>
    <customWorkbookView name="Kriele Christian (krie) - Persönliche Ansicht" guid="{3578C246-5799-4D3C-99B9-EF32BD7E5811}" mergeInterval="0" personalView="1" maximized="1" xWindow="-8" yWindow="-8" windowWidth="2576" windowHeight="1416" tabRatio="424" activeSheetId="1"/>
  </customWorkbookViews>
</workbook>
</file>

<file path=xl/calcChain.xml><?xml version="1.0" encoding="utf-8"?>
<calcChain xmlns="http://schemas.openxmlformats.org/spreadsheetml/2006/main">
  <c r="AJ10" i="25" l="1"/>
  <c r="AC9" i="25" l="1"/>
  <c r="Z8" i="25"/>
  <c r="X8" i="25"/>
  <c r="W8" i="25"/>
  <c r="AA8" i="25"/>
  <c r="AK91" i="25" l="1"/>
  <c r="AJ91" i="25"/>
  <c r="AI91" i="25"/>
  <c r="AD91" i="25"/>
  <c r="AC91" i="25"/>
  <c r="AB91" i="25"/>
  <c r="AA91" i="25"/>
  <c r="Z91" i="25"/>
  <c r="Y91" i="25"/>
  <c r="X91" i="25"/>
  <c r="W91" i="25"/>
  <c r="AG91" i="25" l="1"/>
  <c r="AE91" i="25"/>
  <c r="AF91" i="25" s="1"/>
  <c r="AH91" i="25" s="1"/>
  <c r="AJ212" i="25" l="1"/>
  <c r="AD212" i="25"/>
  <c r="AC212" i="25"/>
  <c r="AB212" i="25"/>
  <c r="AA212" i="25"/>
  <c r="Z212" i="25"/>
  <c r="Y212" i="25"/>
  <c r="X212" i="25"/>
  <c r="W212" i="25"/>
  <c r="AJ211" i="25"/>
  <c r="AD211" i="25"/>
  <c r="AC211" i="25"/>
  <c r="AB211" i="25"/>
  <c r="AA211" i="25"/>
  <c r="Z211" i="25"/>
  <c r="Y211" i="25"/>
  <c r="X211" i="25"/>
  <c r="W211" i="25"/>
  <c r="AE211" i="25" l="1"/>
  <c r="AF211" i="25" s="1"/>
  <c r="AH211" i="25" s="1"/>
  <c r="AI211" i="25"/>
  <c r="AG212" i="25"/>
  <c r="AG211" i="25"/>
  <c r="AK211" i="25"/>
  <c r="AI212" i="25"/>
  <c r="AE212" i="25"/>
  <c r="AF212" i="25" s="1"/>
  <c r="AH212" i="25" s="1"/>
  <c r="AK212" i="25"/>
  <c r="AK279" i="25"/>
  <c r="AJ279" i="25"/>
  <c r="AI279" i="25"/>
  <c r="AG279" i="25"/>
  <c r="AF279" i="25"/>
  <c r="AH279" i="25" s="1"/>
  <c r="AD279" i="25"/>
  <c r="AC279" i="25"/>
  <c r="AB279" i="25"/>
  <c r="AA279" i="25"/>
  <c r="Z279" i="25"/>
  <c r="Y279" i="25"/>
  <c r="X279" i="25"/>
  <c r="W279" i="25"/>
  <c r="AK278" i="25"/>
  <c r="AJ278" i="25"/>
  <c r="AI278" i="25"/>
  <c r="AG278" i="25"/>
  <c r="AF278" i="25"/>
  <c r="AH278" i="25" s="1"/>
  <c r="AD278" i="25"/>
  <c r="AC278" i="25"/>
  <c r="AB278" i="25"/>
  <c r="AA278" i="25"/>
  <c r="Z278" i="25"/>
  <c r="Y278" i="25"/>
  <c r="X278" i="25"/>
  <c r="W278" i="25"/>
  <c r="AK277" i="25"/>
  <c r="AJ277" i="25"/>
  <c r="AI277" i="25"/>
  <c r="AG277" i="25"/>
  <c r="AF277" i="25"/>
  <c r="AH277" i="25" s="1"/>
  <c r="AD277" i="25"/>
  <c r="AC277" i="25"/>
  <c r="AB277" i="25"/>
  <c r="AA277" i="25"/>
  <c r="Z277" i="25"/>
  <c r="Y277" i="25"/>
  <c r="X277" i="25"/>
  <c r="W277" i="25"/>
  <c r="AK276" i="25"/>
  <c r="AJ276" i="25"/>
  <c r="AI276" i="25"/>
  <c r="AG276" i="25"/>
  <c r="AF276" i="25"/>
  <c r="AH276" i="25" s="1"/>
  <c r="AD276" i="25"/>
  <c r="AC276" i="25"/>
  <c r="AB276" i="25"/>
  <c r="AA276" i="25"/>
  <c r="Z276" i="25"/>
  <c r="Y276" i="25"/>
  <c r="X276" i="25"/>
  <c r="W276" i="25"/>
  <c r="AK275" i="25"/>
  <c r="AJ275" i="25"/>
  <c r="AI275" i="25"/>
  <c r="AG275" i="25"/>
  <c r="AF275" i="25"/>
  <c r="AH275" i="25" s="1"/>
  <c r="AD275" i="25"/>
  <c r="AC275" i="25"/>
  <c r="AB275" i="25"/>
  <c r="AA275" i="25"/>
  <c r="Z275" i="25"/>
  <c r="Y275" i="25"/>
  <c r="X275" i="25"/>
  <c r="W275" i="25"/>
  <c r="AK274" i="25"/>
  <c r="AJ274" i="25"/>
  <c r="AI274" i="25"/>
  <c r="AG274" i="25"/>
  <c r="AF274" i="25"/>
  <c r="AH274" i="25" s="1"/>
  <c r="AD274" i="25"/>
  <c r="AC274" i="25"/>
  <c r="AB274" i="25"/>
  <c r="AA274" i="25"/>
  <c r="Z274" i="25"/>
  <c r="Y274" i="25"/>
  <c r="X274" i="25"/>
  <c r="W274" i="25"/>
  <c r="AK273" i="25"/>
  <c r="AJ273" i="25"/>
  <c r="AI273" i="25"/>
  <c r="AG273" i="25"/>
  <c r="AF273" i="25"/>
  <c r="AH273" i="25" s="1"/>
  <c r="AD273" i="25"/>
  <c r="AC273" i="25"/>
  <c r="AB273" i="25"/>
  <c r="AA273" i="25"/>
  <c r="Z273" i="25"/>
  <c r="Y273" i="25"/>
  <c r="X273" i="25"/>
  <c r="W273" i="25"/>
  <c r="AK272" i="25"/>
  <c r="AJ272" i="25"/>
  <c r="AI272" i="25"/>
  <c r="AG272" i="25"/>
  <c r="AF272" i="25"/>
  <c r="AH272" i="25" s="1"/>
  <c r="AD272" i="25"/>
  <c r="AC272" i="25"/>
  <c r="AB272" i="25"/>
  <c r="AA272" i="25"/>
  <c r="Z272" i="25"/>
  <c r="Y272" i="25"/>
  <c r="X272" i="25"/>
  <c r="W272" i="25"/>
  <c r="AK271" i="25"/>
  <c r="AJ271" i="25"/>
  <c r="AI271" i="25"/>
  <c r="AG271" i="25"/>
  <c r="AF271" i="25"/>
  <c r="AH271" i="25" s="1"/>
  <c r="AD271" i="25"/>
  <c r="AC271" i="25"/>
  <c r="AB271" i="25"/>
  <c r="AA271" i="25"/>
  <c r="Z271" i="25"/>
  <c r="Y271" i="25"/>
  <c r="X271" i="25"/>
  <c r="W271" i="25"/>
  <c r="AK270" i="25"/>
  <c r="AJ270" i="25"/>
  <c r="AI270" i="25"/>
  <c r="AG270" i="25"/>
  <c r="AF270" i="25"/>
  <c r="AH270" i="25" s="1"/>
  <c r="AD270" i="25"/>
  <c r="AC270" i="25"/>
  <c r="AB270" i="25"/>
  <c r="AA270" i="25"/>
  <c r="Z270" i="25"/>
  <c r="Y270" i="25"/>
  <c r="X270" i="25"/>
  <c r="W270" i="25"/>
  <c r="AK269" i="25"/>
  <c r="AJ269" i="25"/>
  <c r="AI269" i="25"/>
  <c r="AG269" i="25"/>
  <c r="AF269" i="25"/>
  <c r="AH269" i="25" s="1"/>
  <c r="AD269" i="25"/>
  <c r="AC269" i="25"/>
  <c r="AB269" i="25"/>
  <c r="AA269" i="25"/>
  <c r="Z269" i="25"/>
  <c r="Y269" i="25"/>
  <c r="X269" i="25"/>
  <c r="W269" i="25"/>
  <c r="AK268" i="25"/>
  <c r="AJ268" i="25"/>
  <c r="AI268" i="25"/>
  <c r="AG268" i="25"/>
  <c r="AF268" i="25"/>
  <c r="AH268" i="25" s="1"/>
  <c r="AD268" i="25"/>
  <c r="AC268" i="25"/>
  <c r="AB268" i="25"/>
  <c r="AA268" i="25"/>
  <c r="Z268" i="25"/>
  <c r="Y268" i="25"/>
  <c r="X268" i="25"/>
  <c r="W268" i="25"/>
  <c r="AK267" i="25"/>
  <c r="AJ267" i="25"/>
  <c r="AI267" i="25"/>
  <c r="AG267" i="25"/>
  <c r="AF267" i="25"/>
  <c r="AH267" i="25" s="1"/>
  <c r="AD267" i="25"/>
  <c r="AC267" i="25"/>
  <c r="AB267" i="25"/>
  <c r="AA267" i="25"/>
  <c r="Z267" i="25"/>
  <c r="Y267" i="25"/>
  <c r="X267" i="25"/>
  <c r="W267" i="25"/>
  <c r="AK266" i="25"/>
  <c r="AJ266" i="25"/>
  <c r="AI266" i="25"/>
  <c r="AG266" i="25"/>
  <c r="AF266" i="25"/>
  <c r="AH266" i="25" s="1"/>
  <c r="AD266" i="25"/>
  <c r="AC266" i="25"/>
  <c r="AB266" i="25"/>
  <c r="AA266" i="25"/>
  <c r="Z266" i="25"/>
  <c r="Y266" i="25"/>
  <c r="X266" i="25"/>
  <c r="W266" i="25"/>
  <c r="AK265" i="25"/>
  <c r="AJ265" i="25"/>
  <c r="AI265" i="25"/>
  <c r="AG265" i="25"/>
  <c r="AF265" i="25"/>
  <c r="AH265" i="25" s="1"/>
  <c r="AD265" i="25"/>
  <c r="AC265" i="25"/>
  <c r="AB265" i="25"/>
  <c r="AA265" i="25"/>
  <c r="Z265" i="25"/>
  <c r="Y265" i="25"/>
  <c r="X265" i="25"/>
  <c r="W265" i="25"/>
  <c r="AK264" i="25"/>
  <c r="AJ264" i="25"/>
  <c r="AI264" i="25"/>
  <c r="AG264" i="25"/>
  <c r="AF264" i="25"/>
  <c r="AH264" i="25" s="1"/>
  <c r="AD264" i="25"/>
  <c r="AC264" i="25"/>
  <c r="AB264" i="25"/>
  <c r="AA264" i="25"/>
  <c r="Z264" i="25"/>
  <c r="Y264" i="25"/>
  <c r="X264" i="25"/>
  <c r="W264" i="25"/>
  <c r="AK263" i="25"/>
  <c r="AJ263" i="25"/>
  <c r="AI263" i="25"/>
  <c r="AG263" i="25"/>
  <c r="AF263" i="25"/>
  <c r="AH263" i="25" s="1"/>
  <c r="AD263" i="25"/>
  <c r="AC263" i="25"/>
  <c r="AB263" i="25"/>
  <c r="AA263" i="25"/>
  <c r="Z263" i="25"/>
  <c r="Y263" i="25"/>
  <c r="X263" i="25"/>
  <c r="W263" i="25"/>
  <c r="AK262" i="25"/>
  <c r="AK261" i="25"/>
  <c r="AK260" i="25"/>
  <c r="AK259" i="25"/>
  <c r="AK258" i="25"/>
  <c r="AK257" i="25"/>
  <c r="AJ257" i="25"/>
  <c r="AI257" i="25"/>
  <c r="AD257" i="25"/>
  <c r="AC257" i="25"/>
  <c r="AB257" i="25"/>
  <c r="AA257" i="25"/>
  <c r="Z257" i="25"/>
  <c r="Y257" i="25"/>
  <c r="X257" i="25"/>
  <c r="W257" i="25"/>
  <c r="AK256" i="25"/>
  <c r="AJ256" i="25"/>
  <c r="AI256" i="25"/>
  <c r="AF256" i="25"/>
  <c r="AH256" i="25" s="1"/>
  <c r="AD256" i="25"/>
  <c r="AC256" i="25"/>
  <c r="AB256" i="25"/>
  <c r="AA256" i="25"/>
  <c r="Z256" i="25"/>
  <c r="Y256" i="25"/>
  <c r="X256" i="25"/>
  <c r="W256" i="25"/>
  <c r="AK255" i="25"/>
  <c r="AJ255" i="25"/>
  <c r="AI255" i="25"/>
  <c r="AF255" i="25"/>
  <c r="AH255" i="25" s="1"/>
  <c r="AD255" i="25"/>
  <c r="AC255" i="25"/>
  <c r="AB255" i="25"/>
  <c r="AA255" i="25"/>
  <c r="Z255" i="25"/>
  <c r="Y255" i="25"/>
  <c r="X255" i="25"/>
  <c r="W255" i="25"/>
  <c r="AK254" i="25"/>
  <c r="AJ254" i="25"/>
  <c r="AI254" i="25"/>
  <c r="AF254" i="25"/>
  <c r="AH254" i="25" s="1"/>
  <c r="AD254" i="25"/>
  <c r="AC254" i="25"/>
  <c r="AB254" i="25"/>
  <c r="AA254" i="25"/>
  <c r="Z254" i="25"/>
  <c r="Y254" i="25"/>
  <c r="X254" i="25"/>
  <c r="W254" i="25"/>
  <c r="AK253" i="25"/>
  <c r="AJ253" i="25"/>
  <c r="AI253" i="25"/>
  <c r="AF253" i="25"/>
  <c r="AH253" i="25" s="1"/>
  <c r="AD253" i="25"/>
  <c r="AC253" i="25"/>
  <c r="AB253" i="25"/>
  <c r="AA253" i="25"/>
  <c r="Z253" i="25"/>
  <c r="Y253" i="25"/>
  <c r="X253" i="25"/>
  <c r="W253" i="25"/>
  <c r="AK252" i="25"/>
  <c r="AJ252" i="25"/>
  <c r="AI252" i="25"/>
  <c r="AF252" i="25"/>
  <c r="AH252" i="25" s="1"/>
  <c r="AD252" i="25"/>
  <c r="AC252" i="25"/>
  <c r="AB252" i="25"/>
  <c r="AA252" i="25"/>
  <c r="Z252" i="25"/>
  <c r="Y252" i="25"/>
  <c r="X252" i="25"/>
  <c r="W252" i="25"/>
  <c r="AK251" i="25"/>
  <c r="AJ251" i="25"/>
  <c r="AI251" i="25"/>
  <c r="AF251" i="25"/>
  <c r="AH251" i="25" s="1"/>
  <c r="AD251" i="25"/>
  <c r="AC251" i="25"/>
  <c r="AB251" i="25"/>
  <c r="AA251" i="25"/>
  <c r="Z251" i="25"/>
  <c r="Y251" i="25"/>
  <c r="X251" i="25"/>
  <c r="W251" i="25"/>
  <c r="AK250" i="25"/>
  <c r="AJ250" i="25"/>
  <c r="AI250" i="25"/>
  <c r="AD250" i="25"/>
  <c r="AC250" i="25"/>
  <c r="AB250" i="25"/>
  <c r="AA250" i="25"/>
  <c r="Z250" i="25"/>
  <c r="Y250" i="25"/>
  <c r="X250" i="25"/>
  <c r="W250" i="25"/>
  <c r="AK249" i="25"/>
  <c r="AJ249" i="25"/>
  <c r="AI249" i="25"/>
  <c r="AD249" i="25"/>
  <c r="AC249" i="25"/>
  <c r="AB249" i="25"/>
  <c r="AA249" i="25"/>
  <c r="Z249" i="25"/>
  <c r="Y249" i="25"/>
  <c r="X249" i="25"/>
  <c r="W249" i="25"/>
  <c r="AK248" i="25"/>
  <c r="AJ248" i="25"/>
  <c r="AI248" i="25"/>
  <c r="AD248" i="25"/>
  <c r="AC248" i="25"/>
  <c r="AB248" i="25"/>
  <c r="AA248" i="25"/>
  <c r="Z248" i="25"/>
  <c r="Y248" i="25"/>
  <c r="X248" i="25"/>
  <c r="W248" i="25"/>
  <c r="AK247" i="25"/>
  <c r="AJ247" i="25"/>
  <c r="AI247" i="25"/>
  <c r="AD247" i="25"/>
  <c r="AC247" i="25"/>
  <c r="AB247" i="25"/>
  <c r="AA247" i="25"/>
  <c r="Z247" i="25"/>
  <c r="Y247" i="25"/>
  <c r="X247" i="25"/>
  <c r="W247" i="25"/>
  <c r="AK246" i="25"/>
  <c r="AJ246" i="25"/>
  <c r="AI246" i="25"/>
  <c r="AD246" i="25"/>
  <c r="AC246" i="25"/>
  <c r="AB246" i="25"/>
  <c r="AA246" i="25"/>
  <c r="Z246" i="25"/>
  <c r="Y246" i="25"/>
  <c r="X246" i="25"/>
  <c r="W246" i="25"/>
  <c r="AK218" i="25"/>
  <c r="AJ218" i="25"/>
  <c r="AI218" i="25"/>
  <c r="AF218" i="25"/>
  <c r="AH218" i="25" s="1"/>
  <c r="AD218" i="25"/>
  <c r="AC218" i="25"/>
  <c r="AB218" i="25"/>
  <c r="AA218" i="25"/>
  <c r="Z218" i="25"/>
  <c r="Y218" i="25"/>
  <c r="X218" i="25"/>
  <c r="W218" i="25"/>
  <c r="AK217" i="25"/>
  <c r="AJ217" i="25"/>
  <c r="AI217" i="25"/>
  <c r="AD217" i="25"/>
  <c r="AC217" i="25"/>
  <c r="AB217" i="25"/>
  <c r="AA217" i="25"/>
  <c r="Z217" i="25"/>
  <c r="Y217" i="25"/>
  <c r="X217" i="25"/>
  <c r="W217" i="25"/>
  <c r="AK216" i="25"/>
  <c r="AJ216" i="25"/>
  <c r="AI216" i="25"/>
  <c r="AD216" i="25"/>
  <c r="AC216" i="25"/>
  <c r="AB216" i="25"/>
  <c r="AA216" i="25"/>
  <c r="Z216" i="25"/>
  <c r="Y216" i="25"/>
  <c r="X216" i="25"/>
  <c r="W216" i="25"/>
  <c r="AK215" i="25"/>
  <c r="AJ215" i="25"/>
  <c r="AI215" i="25"/>
  <c r="AD215" i="25"/>
  <c r="AC215" i="25"/>
  <c r="AB215" i="25"/>
  <c r="AA215" i="25"/>
  <c r="Z215" i="25"/>
  <c r="Y215" i="25"/>
  <c r="X215" i="25"/>
  <c r="W215" i="25"/>
  <c r="AK214" i="25"/>
  <c r="AJ214" i="25"/>
  <c r="AI214" i="25"/>
  <c r="AD214" i="25"/>
  <c r="AC214" i="25"/>
  <c r="AB214" i="25"/>
  <c r="AA214" i="25"/>
  <c r="Z214" i="25"/>
  <c r="Y214" i="25"/>
  <c r="X214" i="25"/>
  <c r="W214" i="25"/>
  <c r="AK213" i="25"/>
  <c r="AJ213" i="25"/>
  <c r="AI213" i="25"/>
  <c r="AD213" i="25"/>
  <c r="AC213" i="25"/>
  <c r="AB213" i="25"/>
  <c r="AA213" i="25"/>
  <c r="Z213" i="25"/>
  <c r="Y213" i="25"/>
  <c r="X213" i="25"/>
  <c r="W213" i="25"/>
  <c r="AK210" i="25"/>
  <c r="AJ210" i="25"/>
  <c r="AI210" i="25"/>
  <c r="AD210" i="25"/>
  <c r="AC210" i="25"/>
  <c r="AB210" i="25"/>
  <c r="AA210" i="25"/>
  <c r="Z210" i="25"/>
  <c r="Y210" i="25"/>
  <c r="X210" i="25"/>
  <c r="W210" i="25"/>
  <c r="AK209" i="25"/>
  <c r="AJ209" i="25"/>
  <c r="AI209" i="25"/>
  <c r="AD209" i="25"/>
  <c r="AC209" i="25"/>
  <c r="AB209" i="25"/>
  <c r="AA209" i="25"/>
  <c r="Z209" i="25"/>
  <c r="Y209" i="25"/>
  <c r="X209" i="25"/>
  <c r="W209" i="25"/>
  <c r="AK208" i="25"/>
  <c r="AJ208" i="25"/>
  <c r="AI208" i="25"/>
  <c r="AD208" i="25"/>
  <c r="AC208" i="25"/>
  <c r="AB208" i="25"/>
  <c r="AA208" i="25"/>
  <c r="Z208" i="25"/>
  <c r="Y208" i="25"/>
  <c r="X208" i="25"/>
  <c r="W208" i="25"/>
  <c r="AK207" i="25"/>
  <c r="AJ207" i="25"/>
  <c r="AI207" i="25"/>
  <c r="AD207" i="25"/>
  <c r="AC207" i="25"/>
  <c r="AB207" i="25"/>
  <c r="AA207" i="25"/>
  <c r="Z207" i="25"/>
  <c r="Y207" i="25"/>
  <c r="X207" i="25"/>
  <c r="W207" i="25"/>
  <c r="AK206" i="25"/>
  <c r="AJ206" i="25"/>
  <c r="AI206" i="25"/>
  <c r="AD206" i="25"/>
  <c r="AC206" i="25"/>
  <c r="AB206" i="25"/>
  <c r="AA206" i="25"/>
  <c r="Z206" i="25"/>
  <c r="Y206" i="25"/>
  <c r="X206" i="25"/>
  <c r="W206" i="25"/>
  <c r="AK205" i="25"/>
  <c r="AJ205" i="25"/>
  <c r="AI205" i="25"/>
  <c r="AD205" i="25"/>
  <c r="AC205" i="25"/>
  <c r="AB205" i="25"/>
  <c r="AA205" i="25"/>
  <c r="Z205" i="25"/>
  <c r="Y205" i="25"/>
  <c r="X205" i="25"/>
  <c r="W205" i="25"/>
  <c r="AJ204" i="25"/>
  <c r="AD204" i="25"/>
  <c r="AC204" i="25"/>
  <c r="AB204" i="25"/>
  <c r="AA204" i="25"/>
  <c r="Z204" i="25"/>
  <c r="Y204" i="25"/>
  <c r="X204" i="25"/>
  <c r="W204" i="25"/>
  <c r="AJ203" i="25"/>
  <c r="AD203" i="25"/>
  <c r="AC203" i="25"/>
  <c r="AB203" i="25"/>
  <c r="AA203" i="25"/>
  <c r="Z203" i="25"/>
  <c r="Y203" i="25"/>
  <c r="X203" i="25"/>
  <c r="W203" i="25"/>
  <c r="AK202" i="25"/>
  <c r="AJ202" i="25"/>
  <c r="AI202" i="25"/>
  <c r="AD202" i="25"/>
  <c r="AC202" i="25"/>
  <c r="AB202" i="25"/>
  <c r="AA202" i="25"/>
  <c r="Z202" i="25"/>
  <c r="Y202" i="25"/>
  <c r="X202" i="25"/>
  <c r="W202" i="25"/>
  <c r="AK245" i="25"/>
  <c r="AJ245" i="25"/>
  <c r="AI245" i="25"/>
  <c r="AD245" i="25"/>
  <c r="AC245" i="25"/>
  <c r="AB245" i="25"/>
  <c r="AA245" i="25"/>
  <c r="Z245" i="25"/>
  <c r="Y245" i="25"/>
  <c r="X245" i="25"/>
  <c r="W245" i="25"/>
  <c r="AK244" i="25"/>
  <c r="AJ244" i="25"/>
  <c r="AI244" i="25"/>
  <c r="AD244" i="25"/>
  <c r="AC244" i="25"/>
  <c r="AB244" i="25"/>
  <c r="AA244" i="25"/>
  <c r="Z244" i="25"/>
  <c r="Y244" i="25"/>
  <c r="X244" i="25"/>
  <c r="W244" i="25"/>
  <c r="AK243" i="25"/>
  <c r="AJ243" i="25"/>
  <c r="AI243" i="25"/>
  <c r="AD243" i="25"/>
  <c r="AC243" i="25"/>
  <c r="AB243" i="25"/>
  <c r="AA243" i="25"/>
  <c r="Z243" i="25"/>
  <c r="Y243" i="25"/>
  <c r="X243" i="25"/>
  <c r="W243" i="25"/>
  <c r="AK242" i="25"/>
  <c r="AJ242" i="25"/>
  <c r="AI242" i="25"/>
  <c r="AD242" i="25"/>
  <c r="AC242" i="25"/>
  <c r="AB242" i="25"/>
  <c r="AA242" i="25"/>
  <c r="Z242" i="25"/>
  <c r="Y242" i="25"/>
  <c r="X242" i="25"/>
  <c r="W242" i="25"/>
  <c r="AK241" i="25"/>
  <c r="AJ241" i="25"/>
  <c r="AI241" i="25"/>
  <c r="AD241" i="25"/>
  <c r="AC241" i="25"/>
  <c r="AB241" i="25"/>
  <c r="AA241" i="25"/>
  <c r="Z241" i="25"/>
  <c r="Y241" i="25"/>
  <c r="X241" i="25"/>
  <c r="W241" i="25"/>
  <c r="AK240" i="25"/>
  <c r="AJ240" i="25"/>
  <c r="AI240" i="25"/>
  <c r="AD240" i="25"/>
  <c r="AC240" i="25"/>
  <c r="AB240" i="25"/>
  <c r="AA240" i="25"/>
  <c r="Z240" i="25"/>
  <c r="Y240" i="25"/>
  <c r="X240" i="25"/>
  <c r="W240" i="25"/>
  <c r="AK239" i="25"/>
  <c r="AJ239" i="25"/>
  <c r="AI239" i="25"/>
  <c r="AD239" i="25"/>
  <c r="AC239" i="25"/>
  <c r="AB239" i="25"/>
  <c r="AA239" i="25"/>
  <c r="Z239" i="25"/>
  <c r="Y239" i="25"/>
  <c r="X239" i="25"/>
  <c r="W239" i="25"/>
  <c r="AK238" i="25"/>
  <c r="AJ238" i="25"/>
  <c r="AI238" i="25"/>
  <c r="AD238" i="25"/>
  <c r="AC238" i="25"/>
  <c r="AB238" i="25"/>
  <c r="AA238" i="25"/>
  <c r="Z238" i="25"/>
  <c r="Y238" i="25"/>
  <c r="X238" i="25"/>
  <c r="W238" i="25"/>
  <c r="AK237" i="25"/>
  <c r="AJ237" i="25"/>
  <c r="AI237" i="25"/>
  <c r="AD237" i="25"/>
  <c r="AC237" i="25"/>
  <c r="AB237" i="25"/>
  <c r="AA237" i="25"/>
  <c r="Z237" i="25"/>
  <c r="Y237" i="25"/>
  <c r="X237" i="25"/>
  <c r="W237" i="25"/>
  <c r="AK236" i="25"/>
  <c r="AJ236" i="25"/>
  <c r="AI236" i="25"/>
  <c r="AD236" i="25"/>
  <c r="AC236" i="25"/>
  <c r="AB236" i="25"/>
  <c r="AA236" i="25"/>
  <c r="Z236" i="25"/>
  <c r="Y236" i="25"/>
  <c r="X236" i="25"/>
  <c r="W236" i="25"/>
  <c r="AK235" i="25"/>
  <c r="AJ235" i="25"/>
  <c r="AI235" i="25"/>
  <c r="AD235" i="25"/>
  <c r="AC235" i="25"/>
  <c r="AB235" i="25"/>
  <c r="AA235" i="25"/>
  <c r="Z235" i="25"/>
  <c r="Y235" i="25"/>
  <c r="X235" i="25"/>
  <c r="W235" i="25"/>
  <c r="AK234" i="25"/>
  <c r="AJ234" i="25"/>
  <c r="AI234" i="25"/>
  <c r="AD234" i="25"/>
  <c r="AC234" i="25"/>
  <c r="AB234" i="25"/>
  <c r="AA234" i="25"/>
  <c r="Z234" i="25"/>
  <c r="Y234" i="25"/>
  <c r="X234" i="25"/>
  <c r="W234" i="25"/>
  <c r="AK233" i="25"/>
  <c r="AJ233" i="25"/>
  <c r="AI233" i="25"/>
  <c r="AD233" i="25"/>
  <c r="AC233" i="25"/>
  <c r="AB233" i="25"/>
  <c r="AA233" i="25"/>
  <c r="Z233" i="25"/>
  <c r="Y233" i="25"/>
  <c r="X233" i="25"/>
  <c r="W233" i="25"/>
  <c r="AK232" i="25"/>
  <c r="AJ232" i="25"/>
  <c r="AI232" i="25"/>
  <c r="AD232" i="25"/>
  <c r="AC232" i="25"/>
  <c r="AB232" i="25"/>
  <c r="AA232" i="25"/>
  <c r="Z232" i="25"/>
  <c r="Y232" i="25"/>
  <c r="X232" i="25"/>
  <c r="W232" i="25"/>
  <c r="AK231" i="25"/>
  <c r="AJ231" i="25"/>
  <c r="AI231" i="25"/>
  <c r="AD231" i="25"/>
  <c r="AC231" i="25"/>
  <c r="AB231" i="25"/>
  <c r="AA231" i="25"/>
  <c r="Z231" i="25"/>
  <c r="Y231" i="25"/>
  <c r="X231" i="25"/>
  <c r="W231" i="25"/>
  <c r="AK230" i="25"/>
  <c r="AJ230" i="25"/>
  <c r="AI230" i="25"/>
  <c r="AD230" i="25"/>
  <c r="AC230" i="25"/>
  <c r="AB230" i="25"/>
  <c r="AA230" i="25"/>
  <c r="Z230" i="25"/>
  <c r="Y230" i="25"/>
  <c r="X230" i="25"/>
  <c r="W230" i="25"/>
  <c r="AK229" i="25"/>
  <c r="AJ229" i="25"/>
  <c r="AI229" i="25"/>
  <c r="AD229" i="25"/>
  <c r="AC229" i="25"/>
  <c r="AB229" i="25"/>
  <c r="AA229" i="25"/>
  <c r="Z229" i="25"/>
  <c r="Y229" i="25"/>
  <c r="X229" i="25"/>
  <c r="W229" i="25"/>
  <c r="AK228" i="25"/>
  <c r="AJ228" i="25"/>
  <c r="AI228" i="25"/>
  <c r="AD228" i="25"/>
  <c r="AC228" i="25"/>
  <c r="AB228" i="25"/>
  <c r="AA228" i="25"/>
  <c r="Z228" i="25"/>
  <c r="Y228" i="25"/>
  <c r="X228" i="25"/>
  <c r="W228" i="25"/>
  <c r="AK227" i="25"/>
  <c r="AJ227" i="25"/>
  <c r="AI227" i="25"/>
  <c r="AD227" i="25"/>
  <c r="AC227" i="25"/>
  <c r="AB227" i="25"/>
  <c r="AA227" i="25"/>
  <c r="Z227" i="25"/>
  <c r="Y227" i="25"/>
  <c r="X227" i="25"/>
  <c r="W227" i="25"/>
  <c r="AK226" i="25"/>
  <c r="AJ226" i="25"/>
  <c r="AI226" i="25"/>
  <c r="AD226" i="25"/>
  <c r="AC226" i="25"/>
  <c r="AB226" i="25"/>
  <c r="AA226" i="25"/>
  <c r="Z226" i="25"/>
  <c r="Y226" i="25"/>
  <c r="X226" i="25"/>
  <c r="W226" i="25"/>
  <c r="AK225" i="25"/>
  <c r="AJ225" i="25"/>
  <c r="AI225" i="25"/>
  <c r="AD225" i="25"/>
  <c r="AC225" i="25"/>
  <c r="AB225" i="25"/>
  <c r="AA225" i="25"/>
  <c r="Z225" i="25"/>
  <c r="Y225" i="25"/>
  <c r="X225" i="25"/>
  <c r="W225" i="25"/>
  <c r="AK224" i="25"/>
  <c r="AJ224" i="25"/>
  <c r="AI224" i="25"/>
  <c r="AD224" i="25"/>
  <c r="AC224" i="25"/>
  <c r="AB224" i="25"/>
  <c r="AA224" i="25"/>
  <c r="Z224" i="25"/>
  <c r="Y224" i="25"/>
  <c r="X224" i="25"/>
  <c r="W224" i="25"/>
  <c r="AK223" i="25"/>
  <c r="AJ223" i="25"/>
  <c r="AI223" i="25"/>
  <c r="AD223" i="25"/>
  <c r="AC223" i="25"/>
  <c r="AB223" i="25"/>
  <c r="AA223" i="25"/>
  <c r="Z223" i="25"/>
  <c r="Y223" i="25"/>
  <c r="X223" i="25"/>
  <c r="W223" i="25"/>
  <c r="AK201" i="25"/>
  <c r="AJ201" i="25"/>
  <c r="AI201" i="25"/>
  <c r="AD201" i="25"/>
  <c r="AC201" i="25"/>
  <c r="AB201" i="25"/>
  <c r="AA201" i="25"/>
  <c r="Z201" i="25"/>
  <c r="Y201" i="25"/>
  <c r="X201" i="25"/>
  <c r="W201" i="25"/>
  <c r="AK200" i="25"/>
  <c r="AJ200" i="25"/>
  <c r="AI200" i="25"/>
  <c r="AD200" i="25"/>
  <c r="AC200" i="25"/>
  <c r="AB200" i="25"/>
  <c r="AA200" i="25"/>
  <c r="Z200" i="25"/>
  <c r="Y200" i="25"/>
  <c r="X200" i="25"/>
  <c r="W200" i="25"/>
  <c r="AK199" i="25"/>
  <c r="AJ199" i="25"/>
  <c r="AI199" i="25"/>
  <c r="AD199" i="25"/>
  <c r="AC199" i="25"/>
  <c r="AB199" i="25"/>
  <c r="AA199" i="25"/>
  <c r="Z199" i="25"/>
  <c r="Y199" i="25"/>
  <c r="X199" i="25"/>
  <c r="W199" i="25"/>
  <c r="AK198" i="25"/>
  <c r="AJ198" i="25"/>
  <c r="AI198" i="25"/>
  <c r="AD198" i="25"/>
  <c r="AC198" i="25"/>
  <c r="AB198" i="25"/>
  <c r="AA198" i="25"/>
  <c r="Z198" i="25"/>
  <c r="Y198" i="25"/>
  <c r="X198" i="25"/>
  <c r="W198" i="25"/>
  <c r="AK197" i="25"/>
  <c r="AJ197" i="25"/>
  <c r="AI197" i="25"/>
  <c r="AD197" i="25"/>
  <c r="AC197" i="25"/>
  <c r="AB197" i="25"/>
  <c r="AA197" i="25"/>
  <c r="Z197" i="25"/>
  <c r="Y197" i="25"/>
  <c r="X197" i="25"/>
  <c r="W197" i="25"/>
  <c r="AK196" i="25"/>
  <c r="AJ196" i="25"/>
  <c r="AI196" i="25"/>
  <c r="AD196" i="25"/>
  <c r="AC196" i="25"/>
  <c r="AB196" i="25"/>
  <c r="AA196" i="25"/>
  <c r="Z196" i="25"/>
  <c r="Y196" i="25"/>
  <c r="X196" i="25"/>
  <c r="W196" i="25"/>
  <c r="AK195" i="25"/>
  <c r="AJ195" i="25"/>
  <c r="AI195" i="25"/>
  <c r="AD195" i="25"/>
  <c r="AC195" i="25"/>
  <c r="AB195" i="25"/>
  <c r="AA195" i="25"/>
  <c r="Z195" i="25"/>
  <c r="Y195" i="25"/>
  <c r="X195" i="25"/>
  <c r="W195" i="25"/>
  <c r="AK194" i="25"/>
  <c r="AJ194" i="25"/>
  <c r="AI194" i="25"/>
  <c r="AD194" i="25"/>
  <c r="AC194" i="25"/>
  <c r="AB194" i="25"/>
  <c r="AA194" i="25"/>
  <c r="Z194" i="25"/>
  <c r="Y194" i="25"/>
  <c r="X194" i="25"/>
  <c r="W194" i="25"/>
  <c r="AK193" i="25"/>
  <c r="AJ193" i="25"/>
  <c r="AI193" i="25"/>
  <c r="AD193" i="25"/>
  <c r="AC193" i="25"/>
  <c r="AB193" i="25"/>
  <c r="AA193" i="25"/>
  <c r="Z193" i="25"/>
  <c r="Y193" i="25"/>
  <c r="X193" i="25"/>
  <c r="W193" i="25"/>
  <c r="AK192" i="25"/>
  <c r="AJ192" i="25"/>
  <c r="AI192" i="25"/>
  <c r="AD192" i="25"/>
  <c r="AC192" i="25"/>
  <c r="AB192" i="25"/>
  <c r="AA192" i="25"/>
  <c r="Z192" i="25"/>
  <c r="Y192" i="25"/>
  <c r="X192" i="25"/>
  <c r="W192" i="25"/>
  <c r="AK191" i="25"/>
  <c r="AJ191" i="25"/>
  <c r="AI191" i="25"/>
  <c r="AD191" i="25"/>
  <c r="AC191" i="25"/>
  <c r="AB191" i="25"/>
  <c r="AA191" i="25"/>
  <c r="Z191" i="25"/>
  <c r="Y191" i="25"/>
  <c r="X191" i="25"/>
  <c r="W191" i="25"/>
  <c r="AK190" i="25"/>
  <c r="AJ190" i="25"/>
  <c r="AI190" i="25"/>
  <c r="AD190" i="25"/>
  <c r="AC190" i="25"/>
  <c r="AB190" i="25"/>
  <c r="AA190" i="25"/>
  <c r="Z190" i="25"/>
  <c r="Y190" i="25"/>
  <c r="X190" i="25"/>
  <c r="W190" i="25"/>
  <c r="AK189" i="25"/>
  <c r="AJ189" i="25"/>
  <c r="AI189" i="25"/>
  <c r="AD189" i="25"/>
  <c r="AC189" i="25"/>
  <c r="AB189" i="25"/>
  <c r="AA189" i="25"/>
  <c r="Z189" i="25"/>
  <c r="Y189" i="25"/>
  <c r="X189" i="25"/>
  <c r="W189" i="25"/>
  <c r="AK188" i="25"/>
  <c r="AJ188" i="25"/>
  <c r="AI188" i="25"/>
  <c r="AD188" i="25"/>
  <c r="AC188" i="25"/>
  <c r="AB188" i="25"/>
  <c r="AA188" i="25"/>
  <c r="Z188" i="25"/>
  <c r="Y188" i="25"/>
  <c r="X188" i="25"/>
  <c r="W188" i="25"/>
  <c r="AK187" i="25"/>
  <c r="AJ187" i="25"/>
  <c r="AI187" i="25"/>
  <c r="AD187" i="25"/>
  <c r="AC187" i="25"/>
  <c r="AB187" i="25"/>
  <c r="AA187" i="25"/>
  <c r="Z187" i="25"/>
  <c r="Y187" i="25"/>
  <c r="X187" i="25"/>
  <c r="W187" i="25"/>
  <c r="AK186" i="25"/>
  <c r="AJ186" i="25"/>
  <c r="AI186" i="25"/>
  <c r="AD186" i="25"/>
  <c r="AC186" i="25"/>
  <c r="AB186" i="25"/>
  <c r="AA186" i="25"/>
  <c r="Z186" i="25"/>
  <c r="Y186" i="25"/>
  <c r="X186" i="25"/>
  <c r="W186" i="25"/>
  <c r="AK185" i="25"/>
  <c r="AJ185" i="25"/>
  <c r="AI185" i="25"/>
  <c r="AD185" i="25"/>
  <c r="AC185" i="25"/>
  <c r="AB185" i="25"/>
  <c r="AA185" i="25"/>
  <c r="Z185" i="25"/>
  <c r="Y185" i="25"/>
  <c r="X185" i="25"/>
  <c r="W185" i="25"/>
  <c r="AK184" i="25"/>
  <c r="AJ184" i="25"/>
  <c r="AI184" i="25"/>
  <c r="AD184" i="25"/>
  <c r="AC184" i="25"/>
  <c r="AB184" i="25"/>
  <c r="AA184" i="25"/>
  <c r="Z184" i="25"/>
  <c r="Y184" i="25"/>
  <c r="X184" i="25"/>
  <c r="W184" i="25"/>
  <c r="AK183" i="25"/>
  <c r="AJ183" i="25"/>
  <c r="AI183" i="25"/>
  <c r="AD183" i="25"/>
  <c r="AC183" i="25"/>
  <c r="AB183" i="25"/>
  <c r="AA183" i="25"/>
  <c r="Z183" i="25"/>
  <c r="Y183" i="25"/>
  <c r="X183" i="25"/>
  <c r="W183" i="25"/>
  <c r="AK182" i="25"/>
  <c r="AJ182" i="25"/>
  <c r="AI182" i="25"/>
  <c r="AD182" i="25"/>
  <c r="AC182" i="25"/>
  <c r="AB182" i="25"/>
  <c r="AA182" i="25"/>
  <c r="Z182" i="25"/>
  <c r="Y182" i="25"/>
  <c r="X182" i="25"/>
  <c r="W182" i="25"/>
  <c r="AK181" i="25"/>
  <c r="AJ181" i="25"/>
  <c r="AI181" i="25"/>
  <c r="AD181" i="25"/>
  <c r="AC181" i="25"/>
  <c r="AB181" i="25"/>
  <c r="AA181" i="25"/>
  <c r="Z181" i="25"/>
  <c r="Y181" i="25"/>
  <c r="X181" i="25"/>
  <c r="W181" i="25"/>
  <c r="AK180" i="25"/>
  <c r="AJ180" i="25"/>
  <c r="AI180" i="25"/>
  <c r="AD180" i="25"/>
  <c r="AC180" i="25"/>
  <c r="AB180" i="25"/>
  <c r="AA180" i="25"/>
  <c r="Z180" i="25"/>
  <c r="Y180" i="25"/>
  <c r="X180" i="25"/>
  <c r="W180" i="25"/>
  <c r="AK179" i="25"/>
  <c r="AJ179" i="25"/>
  <c r="AI179" i="25"/>
  <c r="AD179" i="25"/>
  <c r="AC179" i="25"/>
  <c r="AB179" i="25"/>
  <c r="AA179" i="25"/>
  <c r="Z179" i="25"/>
  <c r="Y179" i="25"/>
  <c r="X179" i="25"/>
  <c r="W179" i="25"/>
  <c r="AK178" i="25"/>
  <c r="AJ178" i="25"/>
  <c r="AI178" i="25"/>
  <c r="AD178" i="25"/>
  <c r="AC178" i="25"/>
  <c r="AB178" i="25"/>
  <c r="AA178" i="25"/>
  <c r="Z178" i="25"/>
  <c r="Y178" i="25"/>
  <c r="X178" i="25"/>
  <c r="W178" i="25"/>
  <c r="AK177" i="25"/>
  <c r="AJ177" i="25"/>
  <c r="AI177" i="25"/>
  <c r="AD177" i="25"/>
  <c r="AC177" i="25"/>
  <c r="AB177" i="25"/>
  <c r="AA177" i="25"/>
  <c r="Z177" i="25"/>
  <c r="Y177" i="25"/>
  <c r="X177" i="25"/>
  <c r="W177" i="25"/>
  <c r="AK176" i="25"/>
  <c r="AJ176" i="25"/>
  <c r="AI176" i="25"/>
  <c r="AD176" i="25"/>
  <c r="AC176" i="25"/>
  <c r="AB176" i="25"/>
  <c r="AA176" i="25"/>
  <c r="Z176" i="25"/>
  <c r="Y176" i="25"/>
  <c r="X176" i="25"/>
  <c r="W176" i="25"/>
  <c r="AK175" i="25"/>
  <c r="AJ175" i="25"/>
  <c r="AI175" i="25"/>
  <c r="AD175" i="25"/>
  <c r="AC175" i="25"/>
  <c r="AB175" i="25"/>
  <c r="AA175" i="25"/>
  <c r="Z175" i="25"/>
  <c r="Y175" i="25"/>
  <c r="X175" i="25"/>
  <c r="W175" i="25"/>
  <c r="AK174" i="25"/>
  <c r="AJ174" i="25"/>
  <c r="AI174" i="25"/>
  <c r="AD174" i="25"/>
  <c r="AC174" i="25"/>
  <c r="AB174" i="25"/>
  <c r="AA174" i="25"/>
  <c r="Z174" i="25"/>
  <c r="Y174" i="25"/>
  <c r="X174" i="25"/>
  <c r="W174" i="25"/>
  <c r="AK173" i="25"/>
  <c r="AJ173" i="25"/>
  <c r="AI173" i="25"/>
  <c r="AD173" i="25"/>
  <c r="AC173" i="25"/>
  <c r="AB173" i="25"/>
  <c r="AA173" i="25"/>
  <c r="Z173" i="25"/>
  <c r="Y173" i="25"/>
  <c r="X173" i="25"/>
  <c r="W173" i="25"/>
  <c r="AK222" i="25"/>
  <c r="AJ222" i="25"/>
  <c r="AI222" i="25"/>
  <c r="AD222" i="25"/>
  <c r="AC222" i="25"/>
  <c r="AB222" i="25"/>
  <c r="AA222" i="25"/>
  <c r="Z222" i="25"/>
  <c r="Y222" i="25"/>
  <c r="X222" i="25"/>
  <c r="W222" i="25"/>
  <c r="AK221" i="25"/>
  <c r="AJ221" i="25"/>
  <c r="AI221" i="25"/>
  <c r="AD221" i="25"/>
  <c r="AC221" i="25"/>
  <c r="AB221" i="25"/>
  <c r="AA221" i="25"/>
  <c r="Z221" i="25"/>
  <c r="Y221" i="25"/>
  <c r="X221" i="25"/>
  <c r="W221" i="25"/>
  <c r="AK220" i="25"/>
  <c r="AJ220" i="25"/>
  <c r="AI220" i="25"/>
  <c r="AD220" i="25"/>
  <c r="AC220" i="25"/>
  <c r="AB220" i="25"/>
  <c r="AA220" i="25"/>
  <c r="Z220" i="25"/>
  <c r="Y220" i="25"/>
  <c r="X220" i="25"/>
  <c r="W220" i="25"/>
  <c r="AK219" i="25"/>
  <c r="AJ219" i="25"/>
  <c r="AI219" i="25"/>
  <c r="AD219" i="25"/>
  <c r="AC219" i="25"/>
  <c r="AB219" i="25"/>
  <c r="AA219" i="25"/>
  <c r="Z219" i="25"/>
  <c r="Y219" i="25"/>
  <c r="X219" i="25"/>
  <c r="W219" i="25"/>
  <c r="AK172" i="25"/>
  <c r="AJ172" i="25"/>
  <c r="AI172" i="25"/>
  <c r="AD172" i="25"/>
  <c r="AC172" i="25"/>
  <c r="AB172" i="25"/>
  <c r="AA172" i="25"/>
  <c r="Z172" i="25"/>
  <c r="Y172" i="25"/>
  <c r="X172" i="25"/>
  <c r="W172" i="25"/>
  <c r="AK171" i="25"/>
  <c r="AJ171" i="25"/>
  <c r="AI171" i="25"/>
  <c r="AD171" i="25"/>
  <c r="AC171" i="25"/>
  <c r="AB171" i="25"/>
  <c r="AA171" i="25"/>
  <c r="Z171" i="25"/>
  <c r="Y171" i="25"/>
  <c r="X171" i="25"/>
  <c r="W171" i="25"/>
  <c r="AK170" i="25"/>
  <c r="AJ170" i="25"/>
  <c r="AI170" i="25"/>
  <c r="AD170" i="25"/>
  <c r="AC170" i="25"/>
  <c r="AB170" i="25"/>
  <c r="AA170" i="25"/>
  <c r="Z170" i="25"/>
  <c r="Y170" i="25"/>
  <c r="X170" i="25"/>
  <c r="W170" i="25"/>
  <c r="AK169" i="25"/>
  <c r="AJ169" i="25"/>
  <c r="AI169" i="25"/>
  <c r="AD169" i="25"/>
  <c r="AC169" i="25"/>
  <c r="AB169" i="25"/>
  <c r="AA169" i="25"/>
  <c r="Z169" i="25"/>
  <c r="Y169" i="25"/>
  <c r="X169" i="25"/>
  <c r="W169" i="25"/>
  <c r="AK168" i="25"/>
  <c r="AJ168" i="25"/>
  <c r="AI168" i="25"/>
  <c r="AD168" i="25"/>
  <c r="AC168" i="25"/>
  <c r="AB168" i="25"/>
  <c r="AA168" i="25"/>
  <c r="Z168" i="25"/>
  <c r="Y168" i="25"/>
  <c r="X168" i="25"/>
  <c r="W168" i="25"/>
  <c r="AK167" i="25"/>
  <c r="AJ167" i="25"/>
  <c r="AI167" i="25"/>
  <c r="AD167" i="25"/>
  <c r="AC167" i="25"/>
  <c r="AB167" i="25"/>
  <c r="AA167" i="25"/>
  <c r="Z167" i="25"/>
  <c r="Y167" i="25"/>
  <c r="X167" i="25"/>
  <c r="W167" i="25"/>
  <c r="AK166" i="25"/>
  <c r="AJ166" i="25"/>
  <c r="AI166" i="25"/>
  <c r="AD166" i="25"/>
  <c r="AC166" i="25"/>
  <c r="AB166" i="25"/>
  <c r="AA166" i="25"/>
  <c r="Z166" i="25"/>
  <c r="Y166" i="25"/>
  <c r="X166" i="25"/>
  <c r="W166" i="25"/>
  <c r="AK165" i="25"/>
  <c r="AJ165" i="25"/>
  <c r="AI165" i="25"/>
  <c r="AD165" i="25"/>
  <c r="AC165" i="25"/>
  <c r="AB165" i="25"/>
  <c r="AA165" i="25"/>
  <c r="Z165" i="25"/>
  <c r="Y165" i="25"/>
  <c r="X165" i="25"/>
  <c r="W165" i="25"/>
  <c r="AK164" i="25"/>
  <c r="AJ164" i="25"/>
  <c r="AI164" i="25"/>
  <c r="AD164" i="25"/>
  <c r="AC164" i="25"/>
  <c r="AB164" i="25"/>
  <c r="AA164" i="25"/>
  <c r="Z164" i="25"/>
  <c r="Y164" i="25"/>
  <c r="X164" i="25"/>
  <c r="W164" i="25"/>
  <c r="AK163" i="25"/>
  <c r="AJ163" i="25"/>
  <c r="AI163" i="25"/>
  <c r="AD163" i="25"/>
  <c r="AC163" i="25"/>
  <c r="AB163" i="25"/>
  <c r="AA163" i="25"/>
  <c r="Z163" i="25"/>
  <c r="Y163" i="25"/>
  <c r="X163" i="25"/>
  <c r="W163" i="25"/>
  <c r="AK162" i="25"/>
  <c r="AJ162" i="25"/>
  <c r="AI162" i="25"/>
  <c r="AD162" i="25"/>
  <c r="AC162" i="25"/>
  <c r="AB162" i="25"/>
  <c r="AA162" i="25"/>
  <c r="Z162" i="25"/>
  <c r="Y162" i="25"/>
  <c r="X162" i="25"/>
  <c r="W162" i="25"/>
  <c r="AK161" i="25"/>
  <c r="AJ161" i="25"/>
  <c r="AI161" i="25"/>
  <c r="AD161" i="25"/>
  <c r="AC161" i="25"/>
  <c r="AB161" i="25"/>
  <c r="AA161" i="25"/>
  <c r="Z161" i="25"/>
  <c r="Y161" i="25"/>
  <c r="X161" i="25"/>
  <c r="W161" i="25"/>
  <c r="AK160" i="25"/>
  <c r="AJ160" i="25"/>
  <c r="AI160" i="25"/>
  <c r="AD160" i="25"/>
  <c r="AC160" i="25"/>
  <c r="AB160" i="25"/>
  <c r="AA160" i="25"/>
  <c r="Z160" i="25"/>
  <c r="Y160" i="25"/>
  <c r="X160" i="25"/>
  <c r="W160" i="25"/>
  <c r="AK159" i="25"/>
  <c r="AJ159" i="25"/>
  <c r="AI159" i="25"/>
  <c r="AD159" i="25"/>
  <c r="AC159" i="25"/>
  <c r="AB159" i="25"/>
  <c r="AA159" i="25"/>
  <c r="Z159" i="25"/>
  <c r="Y159" i="25"/>
  <c r="X159" i="25"/>
  <c r="W159" i="25"/>
  <c r="AK158" i="25"/>
  <c r="AJ158" i="25"/>
  <c r="AI158" i="25"/>
  <c r="AD158" i="25"/>
  <c r="AC158" i="25"/>
  <c r="AB158" i="25"/>
  <c r="AA158" i="25"/>
  <c r="Z158" i="25"/>
  <c r="Y158" i="25"/>
  <c r="X158" i="25"/>
  <c r="W158" i="25"/>
  <c r="AK157" i="25"/>
  <c r="AJ157" i="25"/>
  <c r="AI157" i="25"/>
  <c r="AD157" i="25"/>
  <c r="AC157" i="25"/>
  <c r="AB157" i="25"/>
  <c r="AA157" i="25"/>
  <c r="Z157" i="25"/>
  <c r="Y157" i="25"/>
  <c r="X157" i="25"/>
  <c r="W157" i="25"/>
  <c r="AK156" i="25"/>
  <c r="AJ156" i="25"/>
  <c r="AI156" i="25"/>
  <c r="AD156" i="25"/>
  <c r="AC156" i="25"/>
  <c r="AB156" i="25"/>
  <c r="AA156" i="25"/>
  <c r="Z156" i="25"/>
  <c r="Y156" i="25"/>
  <c r="X156" i="25"/>
  <c r="W156" i="25"/>
  <c r="AK155" i="25"/>
  <c r="AJ155" i="25"/>
  <c r="AI155" i="25"/>
  <c r="AD155" i="25"/>
  <c r="AC155" i="25"/>
  <c r="AB155" i="25"/>
  <c r="AA155" i="25"/>
  <c r="Z155" i="25"/>
  <c r="Y155" i="25"/>
  <c r="X155" i="25"/>
  <c r="W155" i="25"/>
  <c r="AK154" i="25"/>
  <c r="AJ154" i="25"/>
  <c r="AI154" i="25"/>
  <c r="AD154" i="25"/>
  <c r="AC154" i="25"/>
  <c r="AB154" i="25"/>
  <c r="AA154" i="25"/>
  <c r="Z154" i="25"/>
  <c r="Y154" i="25"/>
  <c r="X154" i="25"/>
  <c r="W154" i="25"/>
  <c r="AK153" i="25"/>
  <c r="AJ153" i="25"/>
  <c r="AI153" i="25"/>
  <c r="AD153" i="25"/>
  <c r="AC153" i="25"/>
  <c r="AB153" i="25"/>
  <c r="AA153" i="25"/>
  <c r="Z153" i="25"/>
  <c r="Y153" i="25"/>
  <c r="X153" i="25"/>
  <c r="W153" i="25"/>
  <c r="AK152" i="25"/>
  <c r="AJ152" i="25"/>
  <c r="AI152" i="25"/>
  <c r="AD152" i="25"/>
  <c r="AC152" i="25"/>
  <c r="AB152" i="25"/>
  <c r="AA152" i="25"/>
  <c r="Z152" i="25"/>
  <c r="Y152" i="25"/>
  <c r="X152" i="25"/>
  <c r="W152" i="25"/>
  <c r="AK151" i="25"/>
  <c r="AJ151" i="25"/>
  <c r="AI151" i="25"/>
  <c r="AD151" i="25"/>
  <c r="AC151" i="25"/>
  <c r="AB151" i="25"/>
  <c r="AA151" i="25"/>
  <c r="Z151" i="25"/>
  <c r="Y151" i="25"/>
  <c r="X151" i="25"/>
  <c r="W151" i="25"/>
  <c r="AK150" i="25"/>
  <c r="AJ150" i="25"/>
  <c r="AI150" i="25"/>
  <c r="AD150" i="25"/>
  <c r="AC150" i="25"/>
  <c r="AB150" i="25"/>
  <c r="AA150" i="25"/>
  <c r="Z150" i="25"/>
  <c r="Y150" i="25"/>
  <c r="X150" i="25"/>
  <c r="W150" i="25"/>
  <c r="AK149" i="25"/>
  <c r="AJ149" i="25"/>
  <c r="AI149" i="25"/>
  <c r="AD149" i="25"/>
  <c r="AC149" i="25"/>
  <c r="AB149" i="25"/>
  <c r="AA149" i="25"/>
  <c r="Z149" i="25"/>
  <c r="Y149" i="25"/>
  <c r="X149" i="25"/>
  <c r="W149" i="25"/>
  <c r="AK148" i="25"/>
  <c r="AJ148" i="25"/>
  <c r="AI148" i="25"/>
  <c r="AD148" i="25"/>
  <c r="AC148" i="25"/>
  <c r="AB148" i="25"/>
  <c r="AA148" i="25"/>
  <c r="Z148" i="25"/>
  <c r="Y148" i="25"/>
  <c r="X148" i="25"/>
  <c r="W148" i="25"/>
  <c r="AK147" i="25"/>
  <c r="AJ147" i="25"/>
  <c r="AI147" i="25"/>
  <c r="AD147" i="25"/>
  <c r="AC147" i="25"/>
  <c r="AB147" i="25"/>
  <c r="AA147" i="25"/>
  <c r="Z147" i="25"/>
  <c r="Y147" i="25"/>
  <c r="X147" i="25"/>
  <c r="W147" i="25"/>
  <c r="AK146" i="25"/>
  <c r="AJ146" i="25"/>
  <c r="AI146" i="25"/>
  <c r="AD146" i="25"/>
  <c r="AC146" i="25"/>
  <c r="AB146" i="25"/>
  <c r="AA146" i="25"/>
  <c r="Z146" i="25"/>
  <c r="Y146" i="25"/>
  <c r="X146" i="25"/>
  <c r="W146" i="25"/>
  <c r="AK145" i="25"/>
  <c r="AJ145" i="25"/>
  <c r="AI145" i="25"/>
  <c r="AD145" i="25"/>
  <c r="AC145" i="25"/>
  <c r="AB145" i="25"/>
  <c r="AA145" i="25"/>
  <c r="Z145" i="25"/>
  <c r="Y145" i="25"/>
  <c r="X145" i="25"/>
  <c r="W145" i="25"/>
  <c r="AK144" i="25"/>
  <c r="AJ144" i="25"/>
  <c r="AI144" i="25"/>
  <c r="AD144" i="25"/>
  <c r="AC144" i="25"/>
  <c r="AB144" i="25"/>
  <c r="AA144" i="25"/>
  <c r="Z144" i="25"/>
  <c r="Y144" i="25"/>
  <c r="X144" i="25"/>
  <c r="W144" i="25"/>
  <c r="AK143" i="25"/>
  <c r="AJ143" i="25"/>
  <c r="AI143" i="25"/>
  <c r="AD143" i="25"/>
  <c r="AC143" i="25"/>
  <c r="AB143" i="25"/>
  <c r="AA143" i="25"/>
  <c r="Z143" i="25"/>
  <c r="Y143" i="25"/>
  <c r="X143" i="25"/>
  <c r="W143" i="25"/>
  <c r="AK142" i="25"/>
  <c r="AJ142" i="25"/>
  <c r="AI142" i="25"/>
  <c r="AD142" i="25"/>
  <c r="AC142" i="25"/>
  <c r="AB142" i="25"/>
  <c r="AA142" i="25"/>
  <c r="Z142" i="25"/>
  <c r="Y142" i="25"/>
  <c r="X142" i="25"/>
  <c r="W142" i="25"/>
  <c r="AK141" i="25"/>
  <c r="AJ141" i="25"/>
  <c r="AI141" i="25"/>
  <c r="AD141" i="25"/>
  <c r="AC141" i="25"/>
  <c r="AB141" i="25"/>
  <c r="AA141" i="25"/>
  <c r="Z141" i="25"/>
  <c r="Y141" i="25"/>
  <c r="X141" i="25"/>
  <c r="W141" i="25"/>
  <c r="AK140" i="25"/>
  <c r="AJ140" i="25"/>
  <c r="AI140" i="25"/>
  <c r="AD140" i="25"/>
  <c r="AC140" i="25"/>
  <c r="AB140" i="25"/>
  <c r="AA140" i="25"/>
  <c r="Z140" i="25"/>
  <c r="Y140" i="25"/>
  <c r="X140" i="25"/>
  <c r="W140" i="25"/>
  <c r="AK139" i="25"/>
  <c r="AJ139" i="25"/>
  <c r="AI139" i="25"/>
  <c r="AD139" i="25"/>
  <c r="AC139" i="25"/>
  <c r="AB139" i="25"/>
  <c r="AA139" i="25"/>
  <c r="Z139" i="25"/>
  <c r="Y139" i="25"/>
  <c r="X139" i="25"/>
  <c r="W139" i="25"/>
  <c r="AK138" i="25"/>
  <c r="AJ138" i="25"/>
  <c r="AI138" i="25"/>
  <c r="AD138" i="25"/>
  <c r="AC138" i="25"/>
  <c r="AB138" i="25"/>
  <c r="AA138" i="25"/>
  <c r="Z138" i="25"/>
  <c r="Y138" i="25"/>
  <c r="X138" i="25"/>
  <c r="W138" i="25"/>
  <c r="AK137" i="25"/>
  <c r="AJ137" i="25"/>
  <c r="AI137" i="25"/>
  <c r="AD137" i="25"/>
  <c r="AC137" i="25"/>
  <c r="AB137" i="25"/>
  <c r="AA137" i="25"/>
  <c r="Z137" i="25"/>
  <c r="Y137" i="25"/>
  <c r="X137" i="25"/>
  <c r="W137" i="25"/>
  <c r="AK136" i="25"/>
  <c r="AJ136" i="25"/>
  <c r="AI136" i="25"/>
  <c r="AD136" i="25"/>
  <c r="AC136" i="25"/>
  <c r="AB136" i="25"/>
  <c r="AA136" i="25"/>
  <c r="Z136" i="25"/>
  <c r="Y136" i="25"/>
  <c r="X136" i="25"/>
  <c r="W136" i="25"/>
  <c r="AK135" i="25"/>
  <c r="AJ135" i="25"/>
  <c r="AI135" i="25"/>
  <c r="AD135" i="25"/>
  <c r="AC135" i="25"/>
  <c r="AB135" i="25"/>
  <c r="AA135" i="25"/>
  <c r="Z135" i="25"/>
  <c r="Y135" i="25"/>
  <c r="X135" i="25"/>
  <c r="W135" i="25"/>
  <c r="AK134" i="25"/>
  <c r="AJ134" i="25"/>
  <c r="AI134" i="25"/>
  <c r="AD134" i="25"/>
  <c r="AC134" i="25"/>
  <c r="AB134" i="25"/>
  <c r="AA134" i="25"/>
  <c r="Z134" i="25"/>
  <c r="Y134" i="25"/>
  <c r="X134" i="25"/>
  <c r="W134" i="25"/>
  <c r="AK133" i="25"/>
  <c r="AJ133" i="25"/>
  <c r="AI133" i="25"/>
  <c r="AD133" i="25"/>
  <c r="AC133" i="25"/>
  <c r="AB133" i="25"/>
  <c r="AA133" i="25"/>
  <c r="Z133" i="25"/>
  <c r="Y133" i="25"/>
  <c r="X133" i="25"/>
  <c r="W133" i="25"/>
  <c r="AK132" i="25"/>
  <c r="AJ132" i="25"/>
  <c r="AI132" i="25"/>
  <c r="AD132" i="25"/>
  <c r="AC132" i="25"/>
  <c r="AB132" i="25"/>
  <c r="AA132" i="25"/>
  <c r="Z132" i="25"/>
  <c r="Y132" i="25"/>
  <c r="X132" i="25"/>
  <c r="W132" i="25"/>
  <c r="AK131" i="25"/>
  <c r="AJ131" i="25"/>
  <c r="AI131" i="25"/>
  <c r="AD131" i="25"/>
  <c r="AC131" i="25"/>
  <c r="AB131" i="25"/>
  <c r="AA131" i="25"/>
  <c r="Z131" i="25"/>
  <c r="Y131" i="25"/>
  <c r="X131" i="25"/>
  <c r="W131" i="25"/>
  <c r="AK130" i="25"/>
  <c r="AJ130" i="25"/>
  <c r="AI130" i="25"/>
  <c r="AD130" i="25"/>
  <c r="AC130" i="25"/>
  <c r="AB130" i="25"/>
  <c r="AA130" i="25"/>
  <c r="Z130" i="25"/>
  <c r="Y130" i="25"/>
  <c r="X130" i="25"/>
  <c r="W130" i="25"/>
  <c r="AK129" i="25"/>
  <c r="AJ129" i="25"/>
  <c r="AI129" i="25"/>
  <c r="AD129" i="25"/>
  <c r="AC129" i="25"/>
  <c r="AB129" i="25"/>
  <c r="AA129" i="25"/>
  <c r="Z129" i="25"/>
  <c r="Y129" i="25"/>
  <c r="X129" i="25"/>
  <c r="W129" i="25"/>
  <c r="AK128" i="25"/>
  <c r="AJ128" i="25"/>
  <c r="AI128" i="25"/>
  <c r="AD128" i="25"/>
  <c r="AC128" i="25"/>
  <c r="AB128" i="25"/>
  <c r="AA128" i="25"/>
  <c r="Z128" i="25"/>
  <c r="Y128" i="25"/>
  <c r="X128" i="25"/>
  <c r="W128" i="25"/>
  <c r="AK127" i="25"/>
  <c r="AJ127" i="25"/>
  <c r="AI127" i="25"/>
  <c r="AD127" i="25"/>
  <c r="AC127" i="25"/>
  <c r="AB127" i="25"/>
  <c r="AA127" i="25"/>
  <c r="Z127" i="25"/>
  <c r="Y127" i="25"/>
  <c r="X127" i="25"/>
  <c r="W127" i="25"/>
  <c r="AK126" i="25"/>
  <c r="AJ126" i="25"/>
  <c r="AI126" i="25"/>
  <c r="AD126" i="25"/>
  <c r="AC126" i="25"/>
  <c r="AB126" i="25"/>
  <c r="AA126" i="25"/>
  <c r="Z126" i="25"/>
  <c r="Y126" i="25"/>
  <c r="X126" i="25"/>
  <c r="W126" i="25"/>
  <c r="AK125" i="25"/>
  <c r="AJ125" i="25"/>
  <c r="AI125" i="25"/>
  <c r="AD125" i="25"/>
  <c r="AC125" i="25"/>
  <c r="AB125" i="25"/>
  <c r="AA125" i="25"/>
  <c r="Z125" i="25"/>
  <c r="Y125" i="25"/>
  <c r="X125" i="25"/>
  <c r="W125" i="25"/>
  <c r="AK124" i="25"/>
  <c r="AJ124" i="25"/>
  <c r="AI124" i="25"/>
  <c r="AD124" i="25"/>
  <c r="AC124" i="25"/>
  <c r="AB124" i="25"/>
  <c r="AA124" i="25"/>
  <c r="Z124" i="25"/>
  <c r="Y124" i="25"/>
  <c r="X124" i="25"/>
  <c r="W124" i="25"/>
  <c r="AK123" i="25"/>
  <c r="AJ123" i="25"/>
  <c r="AI123" i="25"/>
  <c r="AD123" i="25"/>
  <c r="AC123" i="25"/>
  <c r="AB123" i="25"/>
  <c r="AA123" i="25"/>
  <c r="Z123" i="25"/>
  <c r="Y123" i="25"/>
  <c r="X123" i="25"/>
  <c r="W123" i="25"/>
  <c r="AK122" i="25"/>
  <c r="AJ122" i="25"/>
  <c r="AI122" i="25"/>
  <c r="AD122" i="25"/>
  <c r="AC122" i="25"/>
  <c r="AB122" i="25"/>
  <c r="AA122" i="25"/>
  <c r="Z122" i="25"/>
  <c r="Y122" i="25"/>
  <c r="X122" i="25"/>
  <c r="W122" i="25"/>
  <c r="AK121" i="25"/>
  <c r="AJ121" i="25"/>
  <c r="AI121" i="25"/>
  <c r="AD121" i="25"/>
  <c r="AC121" i="25"/>
  <c r="AB121" i="25"/>
  <c r="AA121" i="25"/>
  <c r="Z121" i="25"/>
  <c r="Y121" i="25"/>
  <c r="X121" i="25"/>
  <c r="W121" i="25"/>
  <c r="AK120" i="25"/>
  <c r="AJ120" i="25"/>
  <c r="AI120" i="25"/>
  <c r="AD120" i="25"/>
  <c r="AC120" i="25"/>
  <c r="AB120" i="25"/>
  <c r="AA120" i="25"/>
  <c r="Z120" i="25"/>
  <c r="Y120" i="25"/>
  <c r="X120" i="25"/>
  <c r="W120" i="25"/>
  <c r="AK119" i="25"/>
  <c r="AJ119" i="25"/>
  <c r="AI119" i="25"/>
  <c r="AD119" i="25"/>
  <c r="AC119" i="25"/>
  <c r="AB119" i="25"/>
  <c r="AA119" i="25"/>
  <c r="Z119" i="25"/>
  <c r="Y119" i="25"/>
  <c r="X119" i="25"/>
  <c r="W119" i="25"/>
  <c r="AK118" i="25"/>
  <c r="AJ118" i="25"/>
  <c r="AI118" i="25"/>
  <c r="AD118" i="25"/>
  <c r="AC118" i="25"/>
  <c r="AB118" i="25"/>
  <c r="AA118" i="25"/>
  <c r="Z118" i="25"/>
  <c r="Y118" i="25"/>
  <c r="X118" i="25"/>
  <c r="W118" i="25"/>
  <c r="AK117" i="25"/>
  <c r="AJ117" i="25"/>
  <c r="AI117" i="25"/>
  <c r="AD117" i="25"/>
  <c r="AC117" i="25"/>
  <c r="AB117" i="25"/>
  <c r="AA117" i="25"/>
  <c r="Z117" i="25"/>
  <c r="Y117" i="25"/>
  <c r="X117" i="25"/>
  <c r="W117" i="25"/>
  <c r="AK116" i="25"/>
  <c r="AJ116" i="25"/>
  <c r="AI116" i="25"/>
  <c r="AD116" i="25"/>
  <c r="AC116" i="25"/>
  <c r="AB116" i="25"/>
  <c r="AA116" i="25"/>
  <c r="Z116" i="25"/>
  <c r="Y116" i="25"/>
  <c r="X116" i="25"/>
  <c r="W116" i="25"/>
  <c r="AK115" i="25"/>
  <c r="AJ115" i="25"/>
  <c r="AI115" i="25"/>
  <c r="AD115" i="25"/>
  <c r="AC115" i="25"/>
  <c r="AB115" i="25"/>
  <c r="AA115" i="25"/>
  <c r="Z115" i="25"/>
  <c r="Y115" i="25"/>
  <c r="X115" i="25"/>
  <c r="W115" i="25"/>
  <c r="AK114" i="25"/>
  <c r="AJ114" i="25"/>
  <c r="AI114" i="25"/>
  <c r="AD114" i="25"/>
  <c r="AC114" i="25"/>
  <c r="AB114" i="25"/>
  <c r="AA114" i="25"/>
  <c r="Z114" i="25"/>
  <c r="Y114" i="25"/>
  <c r="X114" i="25"/>
  <c r="W114" i="25"/>
  <c r="AK113" i="25"/>
  <c r="AJ113" i="25"/>
  <c r="AI113" i="25"/>
  <c r="AD113" i="25"/>
  <c r="AC113" i="25"/>
  <c r="AB113" i="25"/>
  <c r="AA113" i="25"/>
  <c r="Z113" i="25"/>
  <c r="Y113" i="25"/>
  <c r="X113" i="25"/>
  <c r="W113" i="25"/>
  <c r="AK112" i="25"/>
  <c r="AJ112" i="25"/>
  <c r="AI112" i="25"/>
  <c r="AD112" i="25"/>
  <c r="AC112" i="25"/>
  <c r="AB112" i="25"/>
  <c r="AA112" i="25"/>
  <c r="Z112" i="25"/>
  <c r="Y112" i="25"/>
  <c r="X112" i="25"/>
  <c r="W112" i="25"/>
  <c r="AK111" i="25"/>
  <c r="AJ111" i="25"/>
  <c r="AI111" i="25"/>
  <c r="AD111" i="25"/>
  <c r="AC111" i="25"/>
  <c r="AB111" i="25"/>
  <c r="AA111" i="25"/>
  <c r="Z111" i="25"/>
  <c r="Y111" i="25"/>
  <c r="X111" i="25"/>
  <c r="W111" i="25"/>
  <c r="V111" i="25"/>
  <c r="AK110" i="25"/>
  <c r="AJ110" i="25"/>
  <c r="AI110" i="25"/>
  <c r="AD110" i="25"/>
  <c r="AC110" i="25"/>
  <c r="AB110" i="25"/>
  <c r="AA110" i="25"/>
  <c r="Z110" i="25"/>
  <c r="Y110" i="25"/>
  <c r="X110" i="25"/>
  <c r="W110" i="25"/>
  <c r="AK109" i="25"/>
  <c r="AJ109" i="25"/>
  <c r="AI109" i="25"/>
  <c r="AD109" i="25"/>
  <c r="AC109" i="25"/>
  <c r="AB109" i="25"/>
  <c r="AA109" i="25"/>
  <c r="Z109" i="25"/>
  <c r="Y109" i="25"/>
  <c r="X109" i="25"/>
  <c r="W109" i="25"/>
  <c r="AK108" i="25"/>
  <c r="AJ108" i="25"/>
  <c r="AI108" i="25"/>
  <c r="AD108" i="25"/>
  <c r="AC108" i="25"/>
  <c r="AB108" i="25"/>
  <c r="AA108" i="25"/>
  <c r="Z108" i="25"/>
  <c r="Y108" i="25"/>
  <c r="X108" i="25"/>
  <c r="W108" i="25"/>
  <c r="AK107" i="25"/>
  <c r="AJ107" i="25"/>
  <c r="AI107" i="25"/>
  <c r="AD107" i="25"/>
  <c r="AC107" i="25"/>
  <c r="AB107" i="25"/>
  <c r="AA107" i="25"/>
  <c r="Z107" i="25"/>
  <c r="Y107" i="25"/>
  <c r="X107" i="25"/>
  <c r="W107" i="25"/>
  <c r="AK106" i="25"/>
  <c r="AJ106" i="25"/>
  <c r="AI106" i="25"/>
  <c r="AD106" i="25"/>
  <c r="AC106" i="25"/>
  <c r="AB106" i="25"/>
  <c r="AA106" i="25"/>
  <c r="Z106" i="25"/>
  <c r="Y106" i="25"/>
  <c r="X106" i="25"/>
  <c r="W106" i="25"/>
  <c r="AK105" i="25"/>
  <c r="AJ105" i="25"/>
  <c r="AI105" i="25"/>
  <c r="AD105" i="25"/>
  <c r="AC105" i="25"/>
  <c r="AB105" i="25"/>
  <c r="AA105" i="25"/>
  <c r="Z105" i="25"/>
  <c r="Y105" i="25"/>
  <c r="X105" i="25"/>
  <c r="W105" i="25"/>
  <c r="AK104" i="25"/>
  <c r="AJ104" i="25"/>
  <c r="AI104" i="25"/>
  <c r="AD104" i="25"/>
  <c r="AC104" i="25"/>
  <c r="AB104" i="25"/>
  <c r="AA104" i="25"/>
  <c r="Z104" i="25"/>
  <c r="Y104" i="25"/>
  <c r="X104" i="25"/>
  <c r="W104" i="25"/>
  <c r="AK103" i="25"/>
  <c r="AJ103" i="25"/>
  <c r="AI103" i="25"/>
  <c r="AD103" i="25"/>
  <c r="AC103" i="25"/>
  <c r="AB103" i="25"/>
  <c r="AA103" i="25"/>
  <c r="Z103" i="25"/>
  <c r="Y103" i="25"/>
  <c r="X103" i="25"/>
  <c r="W103" i="25"/>
  <c r="AK102" i="25"/>
  <c r="AJ102" i="25"/>
  <c r="AI102" i="25"/>
  <c r="AD102" i="25"/>
  <c r="AC102" i="25"/>
  <c r="AB102" i="25"/>
  <c r="AA102" i="25"/>
  <c r="Z102" i="25"/>
  <c r="Y102" i="25"/>
  <c r="X102" i="25"/>
  <c r="W102" i="25"/>
  <c r="AK101" i="25"/>
  <c r="AJ101" i="25"/>
  <c r="AI101" i="25"/>
  <c r="AD101" i="25"/>
  <c r="AC101" i="25"/>
  <c r="AB101" i="25"/>
  <c r="AA101" i="25"/>
  <c r="Z101" i="25"/>
  <c r="Y101" i="25"/>
  <c r="X101" i="25"/>
  <c r="W101" i="25"/>
  <c r="AK100" i="25"/>
  <c r="AJ100" i="25"/>
  <c r="AI100" i="25"/>
  <c r="AD100" i="25"/>
  <c r="AC100" i="25"/>
  <c r="AB100" i="25"/>
  <c r="AA100" i="25"/>
  <c r="Z100" i="25"/>
  <c r="Y100" i="25"/>
  <c r="X100" i="25"/>
  <c r="W100" i="25"/>
  <c r="AK99" i="25"/>
  <c r="AJ99" i="25"/>
  <c r="AI99" i="25"/>
  <c r="AD99" i="25"/>
  <c r="AC99" i="25"/>
  <c r="AB99" i="25"/>
  <c r="AA99" i="25"/>
  <c r="Z99" i="25"/>
  <c r="Y99" i="25"/>
  <c r="X99" i="25"/>
  <c r="W99" i="25"/>
  <c r="AK98" i="25"/>
  <c r="AJ98" i="25"/>
  <c r="AI98" i="25"/>
  <c r="AD98" i="25"/>
  <c r="AC98" i="25"/>
  <c r="AB98" i="25"/>
  <c r="AA98" i="25"/>
  <c r="Z98" i="25"/>
  <c r="Y98" i="25"/>
  <c r="X98" i="25"/>
  <c r="W98" i="25"/>
  <c r="AK97" i="25"/>
  <c r="AJ97" i="25"/>
  <c r="AI97" i="25"/>
  <c r="AD97" i="25"/>
  <c r="AC97" i="25"/>
  <c r="AB97" i="25"/>
  <c r="AA97" i="25"/>
  <c r="Z97" i="25"/>
  <c r="Y97" i="25"/>
  <c r="X97" i="25"/>
  <c r="W97" i="25"/>
  <c r="AK96" i="25"/>
  <c r="AJ96" i="25"/>
  <c r="AI96" i="25"/>
  <c r="AD96" i="25"/>
  <c r="AC96" i="25"/>
  <c r="AB96" i="25"/>
  <c r="AA96" i="25"/>
  <c r="Z96" i="25"/>
  <c r="Y96" i="25"/>
  <c r="X96" i="25"/>
  <c r="W96" i="25"/>
  <c r="AK95" i="25"/>
  <c r="AJ95" i="25"/>
  <c r="AI95" i="25"/>
  <c r="AD95" i="25"/>
  <c r="AC95" i="25"/>
  <c r="AB95" i="25"/>
  <c r="AA95" i="25"/>
  <c r="Z95" i="25"/>
  <c r="Y95" i="25"/>
  <c r="X95" i="25"/>
  <c r="W95" i="25"/>
  <c r="AK94" i="25"/>
  <c r="AJ94" i="25"/>
  <c r="AI94" i="25"/>
  <c r="AD94" i="25"/>
  <c r="AC94" i="25"/>
  <c r="AB94" i="25"/>
  <c r="AA94" i="25"/>
  <c r="Z94" i="25"/>
  <c r="Y94" i="25"/>
  <c r="X94" i="25"/>
  <c r="W94" i="25"/>
  <c r="AK93" i="25"/>
  <c r="AJ93" i="25"/>
  <c r="AI93" i="25"/>
  <c r="AD93" i="25"/>
  <c r="AC93" i="25"/>
  <c r="AB93" i="25"/>
  <c r="AA93" i="25"/>
  <c r="Z93" i="25"/>
  <c r="Y93" i="25"/>
  <c r="X93" i="25"/>
  <c r="W93" i="25"/>
  <c r="AK92" i="25"/>
  <c r="AJ92" i="25"/>
  <c r="AI92" i="25"/>
  <c r="AD92" i="25"/>
  <c r="AC92" i="25"/>
  <c r="AB92" i="25"/>
  <c r="AA92" i="25"/>
  <c r="Z92" i="25"/>
  <c r="Y92" i="25"/>
  <c r="X92" i="25"/>
  <c r="W92" i="25"/>
  <c r="AK90" i="25"/>
  <c r="AJ90" i="25"/>
  <c r="AI90" i="25"/>
  <c r="AD90" i="25"/>
  <c r="AC90" i="25"/>
  <c r="AB90" i="25"/>
  <c r="AA90" i="25"/>
  <c r="Z90" i="25"/>
  <c r="Y90" i="25"/>
  <c r="X90" i="25"/>
  <c r="W90" i="25"/>
  <c r="AK89" i="25"/>
  <c r="AJ89" i="25"/>
  <c r="AI89" i="25"/>
  <c r="AD89" i="25"/>
  <c r="AC89" i="25"/>
  <c r="AB89" i="25"/>
  <c r="AA89" i="25"/>
  <c r="Z89" i="25"/>
  <c r="Y89" i="25"/>
  <c r="X89" i="25"/>
  <c r="W89" i="25"/>
  <c r="AK88" i="25"/>
  <c r="AJ88" i="25"/>
  <c r="AI88" i="25"/>
  <c r="AD88" i="25"/>
  <c r="AC88" i="25"/>
  <c r="AB88" i="25"/>
  <c r="AA88" i="25"/>
  <c r="Z88" i="25"/>
  <c r="Y88" i="25"/>
  <c r="X88" i="25"/>
  <c r="W88" i="25"/>
  <c r="AK87" i="25"/>
  <c r="AJ87" i="25"/>
  <c r="AI87" i="25"/>
  <c r="AD87" i="25"/>
  <c r="AC87" i="25"/>
  <c r="AB87" i="25"/>
  <c r="AA87" i="25"/>
  <c r="Z87" i="25"/>
  <c r="Y87" i="25"/>
  <c r="X87" i="25"/>
  <c r="W87" i="25"/>
  <c r="AK86" i="25"/>
  <c r="AJ86" i="25"/>
  <c r="AI86" i="25"/>
  <c r="AD86" i="25"/>
  <c r="AC86" i="25"/>
  <c r="AB86" i="25"/>
  <c r="AA86" i="25"/>
  <c r="Z86" i="25"/>
  <c r="Y86" i="25"/>
  <c r="X86" i="25"/>
  <c r="W86" i="25"/>
  <c r="AK85" i="25"/>
  <c r="AJ85" i="25"/>
  <c r="AI85" i="25"/>
  <c r="AD85" i="25"/>
  <c r="AC85" i="25"/>
  <c r="AB85" i="25"/>
  <c r="AA85" i="25"/>
  <c r="Z85" i="25"/>
  <c r="Y85" i="25"/>
  <c r="X85" i="25"/>
  <c r="W85" i="25"/>
  <c r="AK84" i="25"/>
  <c r="AJ84" i="25"/>
  <c r="AI84" i="25"/>
  <c r="AD84" i="25"/>
  <c r="AC84" i="25"/>
  <c r="AB84" i="25"/>
  <c r="AA84" i="25"/>
  <c r="Z84" i="25"/>
  <c r="Y84" i="25"/>
  <c r="X84" i="25"/>
  <c r="W84" i="25"/>
  <c r="AK83" i="25"/>
  <c r="AJ83" i="25"/>
  <c r="AI83" i="25"/>
  <c r="AD83" i="25"/>
  <c r="AC83" i="25"/>
  <c r="AB83" i="25"/>
  <c r="AA83" i="25"/>
  <c r="Z83" i="25"/>
  <c r="Y83" i="25"/>
  <c r="X83" i="25"/>
  <c r="W83" i="25"/>
  <c r="AK82" i="25"/>
  <c r="AJ82" i="25"/>
  <c r="AI82" i="25"/>
  <c r="AD82" i="25"/>
  <c r="AC82" i="25"/>
  <c r="AB82" i="25"/>
  <c r="AA82" i="25"/>
  <c r="Z82" i="25"/>
  <c r="Y82" i="25"/>
  <c r="X82" i="25"/>
  <c r="W82" i="25"/>
  <c r="AK81" i="25"/>
  <c r="AJ81" i="25"/>
  <c r="AI81" i="25"/>
  <c r="AD81" i="25"/>
  <c r="AC81" i="25"/>
  <c r="AB81" i="25"/>
  <c r="AA81" i="25"/>
  <c r="Z81" i="25"/>
  <c r="Y81" i="25"/>
  <c r="X81" i="25"/>
  <c r="W81" i="25"/>
  <c r="AK80" i="25"/>
  <c r="AJ80" i="25"/>
  <c r="AI80" i="25"/>
  <c r="AD80" i="25"/>
  <c r="AC80" i="25"/>
  <c r="AB80" i="25"/>
  <c r="AA80" i="25"/>
  <c r="Z80" i="25"/>
  <c r="Y80" i="25"/>
  <c r="X80" i="25"/>
  <c r="W80" i="25"/>
  <c r="AK79" i="25"/>
  <c r="AJ79" i="25"/>
  <c r="AI79" i="25"/>
  <c r="AD79" i="25"/>
  <c r="AC79" i="25"/>
  <c r="AB79" i="25"/>
  <c r="AA79" i="25"/>
  <c r="Z79" i="25"/>
  <c r="Y79" i="25"/>
  <c r="X79" i="25"/>
  <c r="W79" i="25"/>
  <c r="AK78" i="25"/>
  <c r="AJ78" i="25"/>
  <c r="AI78" i="25"/>
  <c r="AD78" i="25"/>
  <c r="AC78" i="25"/>
  <c r="AB78" i="25"/>
  <c r="AA78" i="25"/>
  <c r="Z78" i="25"/>
  <c r="Y78" i="25"/>
  <c r="X78" i="25"/>
  <c r="W78" i="25"/>
  <c r="AK77" i="25"/>
  <c r="AJ77" i="25"/>
  <c r="AI77" i="25"/>
  <c r="AD77" i="25"/>
  <c r="AC77" i="25"/>
  <c r="AB77" i="25"/>
  <c r="AA77" i="25"/>
  <c r="Z77" i="25"/>
  <c r="Y77" i="25"/>
  <c r="X77" i="25"/>
  <c r="W77" i="25"/>
  <c r="AK76" i="25"/>
  <c r="AJ76" i="25"/>
  <c r="AI76" i="25"/>
  <c r="AD76" i="25"/>
  <c r="AC76" i="25"/>
  <c r="AB76" i="25"/>
  <c r="AA76" i="25"/>
  <c r="Z76" i="25"/>
  <c r="Y76" i="25"/>
  <c r="X76" i="25"/>
  <c r="W76" i="25"/>
  <c r="AK75" i="25"/>
  <c r="AJ75" i="25"/>
  <c r="AI75" i="25"/>
  <c r="AD75" i="25"/>
  <c r="AC75" i="25"/>
  <c r="AB75" i="25"/>
  <c r="AA75" i="25"/>
  <c r="Z75" i="25"/>
  <c r="Y75" i="25"/>
  <c r="X75" i="25"/>
  <c r="W75" i="25"/>
  <c r="AK74" i="25"/>
  <c r="AJ74" i="25"/>
  <c r="AI74" i="25"/>
  <c r="AD74" i="25"/>
  <c r="AC74" i="25"/>
  <c r="AB74" i="25"/>
  <c r="AA74" i="25"/>
  <c r="Z74" i="25"/>
  <c r="Y74" i="25"/>
  <c r="X74" i="25"/>
  <c r="W74" i="25"/>
  <c r="AK69" i="25"/>
  <c r="AJ69" i="25"/>
  <c r="AI69" i="25"/>
  <c r="AD69" i="25"/>
  <c r="AC69" i="25"/>
  <c r="AB69" i="25"/>
  <c r="AA69" i="25"/>
  <c r="Z69" i="25"/>
  <c r="Y69" i="25"/>
  <c r="X69" i="25"/>
  <c r="W69" i="25"/>
  <c r="AK73" i="25"/>
  <c r="AJ73" i="25"/>
  <c r="AI73" i="25"/>
  <c r="AD73" i="25"/>
  <c r="AC73" i="25"/>
  <c r="AB73" i="25"/>
  <c r="AA73" i="25"/>
  <c r="Z73" i="25"/>
  <c r="Y73" i="25"/>
  <c r="X73" i="25"/>
  <c r="W73" i="25"/>
  <c r="AK72" i="25"/>
  <c r="AJ72" i="25"/>
  <c r="AI72" i="25"/>
  <c r="AD72" i="25"/>
  <c r="AC72" i="25"/>
  <c r="AB72" i="25"/>
  <c r="AA72" i="25"/>
  <c r="Z72" i="25"/>
  <c r="Y72" i="25"/>
  <c r="X72" i="25"/>
  <c r="W72" i="25"/>
  <c r="AK71" i="25"/>
  <c r="AJ71" i="25"/>
  <c r="AI71" i="25"/>
  <c r="AD71" i="25"/>
  <c r="AC71" i="25"/>
  <c r="AB71" i="25"/>
  <c r="AA71" i="25"/>
  <c r="Z71" i="25"/>
  <c r="Y71" i="25"/>
  <c r="X71" i="25"/>
  <c r="W71" i="25"/>
  <c r="AK70" i="25"/>
  <c r="AJ70" i="25"/>
  <c r="AI70" i="25"/>
  <c r="AD70" i="25"/>
  <c r="AC70" i="25"/>
  <c r="AB70" i="25"/>
  <c r="AA70" i="25"/>
  <c r="Z70" i="25"/>
  <c r="Y70" i="25"/>
  <c r="X70" i="25"/>
  <c r="W70" i="25"/>
  <c r="AK68" i="25"/>
  <c r="AJ68" i="25"/>
  <c r="AI68" i="25"/>
  <c r="AD68" i="25"/>
  <c r="AC68" i="25"/>
  <c r="AB68" i="25"/>
  <c r="AA68" i="25"/>
  <c r="Z68" i="25"/>
  <c r="Y68" i="25"/>
  <c r="X68" i="25"/>
  <c r="W68" i="25"/>
  <c r="AK67" i="25"/>
  <c r="AJ67" i="25"/>
  <c r="AI67" i="25"/>
  <c r="AD67" i="25"/>
  <c r="AC67" i="25"/>
  <c r="AB67" i="25"/>
  <c r="AA67" i="25"/>
  <c r="Z67" i="25"/>
  <c r="Y67" i="25"/>
  <c r="X67" i="25"/>
  <c r="W67" i="25"/>
  <c r="AK66" i="25"/>
  <c r="AJ66" i="25"/>
  <c r="AI66" i="25"/>
  <c r="AD66" i="25"/>
  <c r="AC66" i="25"/>
  <c r="AB66" i="25"/>
  <c r="AA66" i="25"/>
  <c r="Z66" i="25"/>
  <c r="Y66" i="25"/>
  <c r="X66" i="25"/>
  <c r="W66" i="25"/>
  <c r="AK65" i="25"/>
  <c r="AJ65" i="25"/>
  <c r="AI65" i="25"/>
  <c r="AD65" i="25"/>
  <c r="AC65" i="25"/>
  <c r="AB65" i="25"/>
  <c r="AA65" i="25"/>
  <c r="Z65" i="25"/>
  <c r="Y65" i="25"/>
  <c r="X65" i="25"/>
  <c r="W65" i="25"/>
  <c r="AK64" i="25"/>
  <c r="AJ64" i="25"/>
  <c r="AI64" i="25"/>
  <c r="AD64" i="25"/>
  <c r="AC64" i="25"/>
  <c r="AB64" i="25"/>
  <c r="AA64" i="25"/>
  <c r="Z64" i="25"/>
  <c r="Y64" i="25"/>
  <c r="X64" i="25"/>
  <c r="W64" i="25"/>
  <c r="AK63" i="25"/>
  <c r="AJ63" i="25"/>
  <c r="AI63" i="25"/>
  <c r="AD63" i="25"/>
  <c r="AC63" i="25"/>
  <c r="AB63" i="25"/>
  <c r="AA63" i="25"/>
  <c r="Z63" i="25"/>
  <c r="Y63" i="25"/>
  <c r="X63" i="25"/>
  <c r="W63" i="25"/>
  <c r="AK62" i="25"/>
  <c r="AJ62" i="25"/>
  <c r="AI62" i="25"/>
  <c r="AD62" i="25"/>
  <c r="AC62" i="25"/>
  <c r="AB62" i="25"/>
  <c r="AA62" i="25"/>
  <c r="Z62" i="25"/>
  <c r="Y62" i="25"/>
  <c r="X62" i="25"/>
  <c r="W62" i="25"/>
  <c r="AK61" i="25"/>
  <c r="AJ61" i="25"/>
  <c r="AI61" i="25"/>
  <c r="AD61" i="25"/>
  <c r="AC61" i="25"/>
  <c r="AB61" i="25"/>
  <c r="AA61" i="25"/>
  <c r="Z61" i="25"/>
  <c r="Y61" i="25"/>
  <c r="X61" i="25"/>
  <c r="W61" i="25"/>
  <c r="AK60" i="25"/>
  <c r="AJ60" i="25"/>
  <c r="AI60" i="25"/>
  <c r="AD60" i="25"/>
  <c r="AC60" i="25"/>
  <c r="AB60" i="25"/>
  <c r="AA60" i="25"/>
  <c r="Z60" i="25"/>
  <c r="Y60" i="25"/>
  <c r="X60" i="25"/>
  <c r="W60" i="25"/>
  <c r="AK59" i="25"/>
  <c r="AJ59" i="25"/>
  <c r="AI59" i="25"/>
  <c r="AD59" i="25"/>
  <c r="AC59" i="25"/>
  <c r="AB59" i="25"/>
  <c r="AA59" i="25"/>
  <c r="Z59" i="25"/>
  <c r="Y59" i="25"/>
  <c r="X59" i="25"/>
  <c r="W59" i="25"/>
  <c r="AK58" i="25"/>
  <c r="AJ58" i="25"/>
  <c r="AI58" i="25"/>
  <c r="AD58" i="25"/>
  <c r="AC58" i="25"/>
  <c r="AB58" i="25"/>
  <c r="AA58" i="25"/>
  <c r="Z58" i="25"/>
  <c r="Y58" i="25"/>
  <c r="X58" i="25"/>
  <c r="W58" i="25"/>
  <c r="AK57" i="25"/>
  <c r="AJ57" i="25"/>
  <c r="AI57" i="25"/>
  <c r="AD57" i="25"/>
  <c r="AC57" i="25"/>
  <c r="AB57" i="25"/>
  <c r="AA57" i="25"/>
  <c r="Z57" i="25"/>
  <c r="Y57" i="25"/>
  <c r="X57" i="25"/>
  <c r="W57" i="25"/>
  <c r="AK56" i="25"/>
  <c r="AJ56" i="25"/>
  <c r="AI56" i="25"/>
  <c r="AD56" i="25"/>
  <c r="AC56" i="25"/>
  <c r="AB56" i="25"/>
  <c r="AA56" i="25"/>
  <c r="Z56" i="25"/>
  <c r="Y56" i="25"/>
  <c r="X56" i="25"/>
  <c r="W56" i="25"/>
  <c r="AK55" i="25"/>
  <c r="AJ55" i="25"/>
  <c r="AI55" i="25"/>
  <c r="AD55" i="25"/>
  <c r="AC55" i="25"/>
  <c r="AB55" i="25"/>
  <c r="AA55" i="25"/>
  <c r="Z55" i="25"/>
  <c r="Y55" i="25"/>
  <c r="X55" i="25"/>
  <c r="W55" i="25"/>
  <c r="AK54" i="25"/>
  <c r="AJ54" i="25"/>
  <c r="AI54" i="25"/>
  <c r="AD54" i="25"/>
  <c r="AC54" i="25"/>
  <c r="AB54" i="25"/>
  <c r="AA54" i="25"/>
  <c r="Z54" i="25"/>
  <c r="Y54" i="25"/>
  <c r="X54" i="25"/>
  <c r="W54" i="25"/>
  <c r="AK53" i="25"/>
  <c r="AJ53" i="25"/>
  <c r="AI53" i="25"/>
  <c r="AD53" i="25"/>
  <c r="AC53" i="25"/>
  <c r="AB53" i="25"/>
  <c r="AA53" i="25"/>
  <c r="Z53" i="25"/>
  <c r="Y53" i="25"/>
  <c r="X53" i="25"/>
  <c r="W53" i="25"/>
  <c r="AK52" i="25"/>
  <c r="AJ52" i="25"/>
  <c r="AI52" i="25"/>
  <c r="AD52" i="25"/>
  <c r="AC52" i="25"/>
  <c r="AB52" i="25"/>
  <c r="AA52" i="25"/>
  <c r="Z52" i="25"/>
  <c r="Y52" i="25"/>
  <c r="X52" i="25"/>
  <c r="W52" i="25"/>
  <c r="AK51" i="25"/>
  <c r="AJ51" i="25"/>
  <c r="AI51" i="25"/>
  <c r="AD51" i="25"/>
  <c r="AC51" i="25"/>
  <c r="AB51" i="25"/>
  <c r="AA51" i="25"/>
  <c r="Z51" i="25"/>
  <c r="Y51" i="25"/>
  <c r="X51" i="25"/>
  <c r="W51" i="25"/>
  <c r="AK50" i="25"/>
  <c r="AJ50" i="25"/>
  <c r="AI50" i="25"/>
  <c r="AD50" i="25"/>
  <c r="AC50" i="25"/>
  <c r="AB50" i="25"/>
  <c r="AA50" i="25"/>
  <c r="Z50" i="25"/>
  <c r="Y50" i="25"/>
  <c r="X50" i="25"/>
  <c r="W50" i="25"/>
  <c r="AK49" i="25"/>
  <c r="AJ49" i="25"/>
  <c r="AI49" i="25"/>
  <c r="AD49" i="25"/>
  <c r="AC49" i="25"/>
  <c r="AB49" i="25"/>
  <c r="AA49" i="25"/>
  <c r="Z49" i="25"/>
  <c r="Y49" i="25"/>
  <c r="X49" i="25"/>
  <c r="W49" i="25"/>
  <c r="AK48" i="25"/>
  <c r="AJ48" i="25"/>
  <c r="AI48" i="25"/>
  <c r="AD48" i="25"/>
  <c r="AC48" i="25"/>
  <c r="AB48" i="25"/>
  <c r="AA48" i="25"/>
  <c r="Z48" i="25"/>
  <c r="Y48" i="25"/>
  <c r="X48" i="25"/>
  <c r="W48" i="25"/>
  <c r="AK47" i="25"/>
  <c r="AJ47" i="25"/>
  <c r="AI47" i="25"/>
  <c r="AD47" i="25"/>
  <c r="AC47" i="25"/>
  <c r="AB47" i="25"/>
  <c r="AA47" i="25"/>
  <c r="Z47" i="25"/>
  <c r="Y47" i="25"/>
  <c r="X47" i="25"/>
  <c r="W47" i="25"/>
  <c r="AK46" i="25"/>
  <c r="AJ46" i="25"/>
  <c r="AI46" i="25"/>
  <c r="AD46" i="25"/>
  <c r="AC46" i="25"/>
  <c r="AB46" i="25"/>
  <c r="AA46" i="25"/>
  <c r="Z46" i="25"/>
  <c r="Y46" i="25"/>
  <c r="X46" i="25"/>
  <c r="W46" i="25"/>
  <c r="AK45" i="25"/>
  <c r="AJ45" i="25"/>
  <c r="AI45" i="25"/>
  <c r="AD45" i="25"/>
  <c r="AC45" i="25"/>
  <c r="AB45" i="25"/>
  <c r="AA45" i="25"/>
  <c r="Z45" i="25"/>
  <c r="Y45" i="25"/>
  <c r="X45" i="25"/>
  <c r="W45" i="25"/>
  <c r="AK44" i="25"/>
  <c r="AJ44" i="25"/>
  <c r="AI44" i="25"/>
  <c r="AD44" i="25"/>
  <c r="AC44" i="25"/>
  <c r="AB44" i="25"/>
  <c r="AA44" i="25"/>
  <c r="Z44" i="25"/>
  <c r="Y44" i="25"/>
  <c r="X44" i="25"/>
  <c r="W44" i="25"/>
  <c r="AK43" i="25"/>
  <c r="AJ43" i="25"/>
  <c r="AI43" i="25"/>
  <c r="AD43" i="25"/>
  <c r="AC43" i="25"/>
  <c r="AB43" i="25"/>
  <c r="AA43" i="25"/>
  <c r="Z43" i="25"/>
  <c r="Y43" i="25"/>
  <c r="X43" i="25"/>
  <c r="W43" i="25"/>
  <c r="AK42" i="25"/>
  <c r="AJ42" i="25"/>
  <c r="AI42" i="25"/>
  <c r="AD42" i="25"/>
  <c r="AC42" i="25"/>
  <c r="AB42" i="25"/>
  <c r="AA42" i="25"/>
  <c r="Z42" i="25"/>
  <c r="Y42" i="25"/>
  <c r="X42" i="25"/>
  <c r="W42" i="25"/>
  <c r="AK41" i="25"/>
  <c r="AJ41" i="25"/>
  <c r="AI41" i="25"/>
  <c r="AD41" i="25"/>
  <c r="AC41" i="25"/>
  <c r="AB41" i="25"/>
  <c r="AA41" i="25"/>
  <c r="Z41" i="25"/>
  <c r="Y41" i="25"/>
  <c r="X41" i="25"/>
  <c r="W41" i="25"/>
  <c r="AK40" i="25"/>
  <c r="AJ40" i="25"/>
  <c r="AI40" i="25"/>
  <c r="AD40" i="25"/>
  <c r="AC40" i="25"/>
  <c r="AB40" i="25"/>
  <c r="AA40" i="25"/>
  <c r="Z40" i="25"/>
  <c r="Y40" i="25"/>
  <c r="X40" i="25"/>
  <c r="W40" i="25"/>
  <c r="AK39" i="25"/>
  <c r="AJ39" i="25"/>
  <c r="AI39" i="25"/>
  <c r="AD39" i="25"/>
  <c r="AC39" i="25"/>
  <c r="AB39" i="25"/>
  <c r="AA39" i="25"/>
  <c r="Z39" i="25"/>
  <c r="Y39" i="25"/>
  <c r="X39" i="25"/>
  <c r="W39" i="25"/>
  <c r="AK38" i="25"/>
  <c r="AJ38" i="25"/>
  <c r="AI38" i="25"/>
  <c r="AD38" i="25"/>
  <c r="AC38" i="25"/>
  <c r="AB38" i="25"/>
  <c r="AA38" i="25"/>
  <c r="Z38" i="25"/>
  <c r="Y38" i="25"/>
  <c r="X38" i="25"/>
  <c r="W38" i="25"/>
  <c r="AK37" i="25"/>
  <c r="AJ37" i="25"/>
  <c r="AI37" i="25"/>
  <c r="AD37" i="25"/>
  <c r="AC37" i="25"/>
  <c r="AB37" i="25"/>
  <c r="AA37" i="25"/>
  <c r="Z37" i="25"/>
  <c r="Y37" i="25"/>
  <c r="X37" i="25"/>
  <c r="W37" i="25"/>
  <c r="AK36" i="25"/>
  <c r="AJ36" i="25"/>
  <c r="AI36" i="25"/>
  <c r="AF36" i="25"/>
  <c r="AH36" i="25" s="1"/>
  <c r="AD36" i="25"/>
  <c r="AC36" i="25"/>
  <c r="AB36" i="25"/>
  <c r="AA36" i="25"/>
  <c r="Z36" i="25"/>
  <c r="Y36" i="25"/>
  <c r="X36" i="25"/>
  <c r="W36" i="25"/>
  <c r="AK35" i="25"/>
  <c r="AJ35" i="25"/>
  <c r="AI35" i="25"/>
  <c r="AD35" i="25"/>
  <c r="AC35" i="25"/>
  <c r="AB35" i="25"/>
  <c r="AA35" i="25"/>
  <c r="Z35" i="25"/>
  <c r="Y35" i="25"/>
  <c r="X35" i="25"/>
  <c r="W35" i="25"/>
  <c r="AK34" i="25"/>
  <c r="AJ34" i="25"/>
  <c r="AI34" i="25"/>
  <c r="AF34" i="25"/>
  <c r="AH34" i="25" s="1"/>
  <c r="AD34" i="25"/>
  <c r="AC34" i="25"/>
  <c r="AB34" i="25"/>
  <c r="AA34" i="25"/>
  <c r="Z34" i="25"/>
  <c r="Y34" i="25"/>
  <c r="X34" i="25"/>
  <c r="W34" i="25"/>
  <c r="AK33" i="25"/>
  <c r="AJ33" i="25"/>
  <c r="AI33" i="25"/>
  <c r="AD33" i="25"/>
  <c r="AC33" i="25"/>
  <c r="AB33" i="25"/>
  <c r="AA33" i="25"/>
  <c r="Z33" i="25"/>
  <c r="Y33" i="25"/>
  <c r="X33" i="25"/>
  <c r="W33" i="25"/>
  <c r="AK32" i="25"/>
  <c r="AJ32" i="25"/>
  <c r="AI32" i="25"/>
  <c r="AD32" i="25"/>
  <c r="AC32" i="25"/>
  <c r="AB32" i="25"/>
  <c r="AA32" i="25"/>
  <c r="Z32" i="25"/>
  <c r="Y32" i="25"/>
  <c r="X32" i="25"/>
  <c r="W32" i="25"/>
  <c r="AK31" i="25"/>
  <c r="AJ31" i="25"/>
  <c r="AI31" i="25"/>
  <c r="AD31" i="25"/>
  <c r="AC31" i="25"/>
  <c r="AB31" i="25"/>
  <c r="AA31" i="25"/>
  <c r="Z31" i="25"/>
  <c r="Y31" i="25"/>
  <c r="X31" i="25"/>
  <c r="W31" i="25"/>
  <c r="AK30" i="25"/>
  <c r="AJ30" i="25"/>
  <c r="AI30" i="25"/>
  <c r="AD30" i="25"/>
  <c r="AC30" i="25"/>
  <c r="AB30" i="25"/>
  <c r="AA30" i="25"/>
  <c r="Z30" i="25"/>
  <c r="Y30" i="25"/>
  <c r="X30" i="25"/>
  <c r="W30" i="25"/>
  <c r="AK29" i="25"/>
  <c r="AJ29" i="25"/>
  <c r="AI29" i="25"/>
  <c r="AD29" i="25"/>
  <c r="AC29" i="25"/>
  <c r="AB29" i="25"/>
  <c r="AA29" i="25"/>
  <c r="Z29" i="25"/>
  <c r="Y29" i="25"/>
  <c r="X29" i="25"/>
  <c r="W29" i="25"/>
  <c r="AK28" i="25"/>
  <c r="AJ28" i="25"/>
  <c r="AI28" i="25"/>
  <c r="AD28" i="25"/>
  <c r="AC28" i="25"/>
  <c r="AB28" i="25"/>
  <c r="AA28" i="25"/>
  <c r="Z28" i="25"/>
  <c r="Y28" i="25"/>
  <c r="X28" i="25"/>
  <c r="W28" i="25"/>
  <c r="AK27" i="25"/>
  <c r="AJ27" i="25"/>
  <c r="AI27" i="25"/>
  <c r="AF27" i="25"/>
  <c r="AH27" i="25" s="1"/>
  <c r="AD27" i="25"/>
  <c r="AC27" i="25"/>
  <c r="AB27" i="25"/>
  <c r="AA27" i="25"/>
  <c r="Z27" i="25"/>
  <c r="Y27" i="25"/>
  <c r="X27" i="25"/>
  <c r="W27" i="25"/>
  <c r="AK26" i="25"/>
  <c r="AJ26" i="25"/>
  <c r="AI26" i="25"/>
  <c r="AF26" i="25"/>
  <c r="AH26" i="25" s="1"/>
  <c r="AD26" i="25"/>
  <c r="AC26" i="25"/>
  <c r="AB26" i="25"/>
  <c r="AA26" i="25"/>
  <c r="Z26" i="25"/>
  <c r="Y26" i="25"/>
  <c r="X26" i="25"/>
  <c r="W26" i="25"/>
  <c r="AK25" i="25"/>
  <c r="AJ25" i="25"/>
  <c r="AI25" i="25"/>
  <c r="AF25" i="25"/>
  <c r="AH25" i="25" s="1"/>
  <c r="AD25" i="25"/>
  <c r="AC25" i="25"/>
  <c r="AB25" i="25"/>
  <c r="AA25" i="25"/>
  <c r="Z25" i="25"/>
  <c r="Y25" i="25"/>
  <c r="X25" i="25"/>
  <c r="W25" i="25"/>
  <c r="AK24" i="25"/>
  <c r="AJ24" i="25"/>
  <c r="AI24" i="25"/>
  <c r="AF24" i="25"/>
  <c r="AH24" i="25" s="1"/>
  <c r="AD24" i="25"/>
  <c r="AC24" i="25"/>
  <c r="AB24" i="25"/>
  <c r="AA24" i="25"/>
  <c r="Z24" i="25"/>
  <c r="Y24" i="25"/>
  <c r="X24" i="25"/>
  <c r="W24" i="25"/>
  <c r="AK23" i="25"/>
  <c r="AJ23" i="25"/>
  <c r="AI23" i="25"/>
  <c r="AF23" i="25"/>
  <c r="AH23" i="25" s="1"/>
  <c r="AD23" i="25"/>
  <c r="AC23" i="25"/>
  <c r="AB23" i="25"/>
  <c r="AA23" i="25"/>
  <c r="Z23" i="25"/>
  <c r="Y23" i="25"/>
  <c r="X23" i="25"/>
  <c r="W23" i="25"/>
  <c r="AK22" i="25"/>
  <c r="AJ22" i="25"/>
  <c r="AI22" i="25"/>
  <c r="AF22" i="25"/>
  <c r="AH22" i="25" s="1"/>
  <c r="AD22" i="25"/>
  <c r="AC22" i="25"/>
  <c r="AB22" i="25"/>
  <c r="AA22" i="25"/>
  <c r="Z22" i="25"/>
  <c r="Y22" i="25"/>
  <c r="X22" i="25"/>
  <c r="W22" i="25"/>
  <c r="AK21" i="25"/>
  <c r="AJ21" i="25"/>
  <c r="AI21" i="25"/>
  <c r="AF21" i="25"/>
  <c r="AH21" i="25" s="1"/>
  <c r="AD21" i="25"/>
  <c r="AC21" i="25"/>
  <c r="AB21" i="25"/>
  <c r="AA21" i="25"/>
  <c r="Z21" i="25"/>
  <c r="Y21" i="25"/>
  <c r="X21" i="25"/>
  <c r="W21" i="25"/>
  <c r="AK20" i="25"/>
  <c r="AJ20" i="25"/>
  <c r="AI20" i="25"/>
  <c r="AF20" i="25"/>
  <c r="AH20" i="25" s="1"/>
  <c r="AD20" i="25"/>
  <c r="AC20" i="25"/>
  <c r="AB20" i="25"/>
  <c r="AA20" i="25"/>
  <c r="Z20" i="25"/>
  <c r="Y20" i="25"/>
  <c r="X20" i="25"/>
  <c r="W20" i="25"/>
  <c r="AK19" i="25"/>
  <c r="AJ19" i="25"/>
  <c r="AI19" i="25"/>
  <c r="AF19" i="25"/>
  <c r="AH19" i="25" s="1"/>
  <c r="AD19" i="25"/>
  <c r="AC19" i="25"/>
  <c r="AB19" i="25"/>
  <c r="AA19" i="25"/>
  <c r="Z19" i="25"/>
  <c r="Y19" i="25"/>
  <c r="X19" i="25"/>
  <c r="W19" i="25"/>
  <c r="AK18" i="25"/>
  <c r="AJ18" i="25"/>
  <c r="AI18" i="25"/>
  <c r="AF18" i="25"/>
  <c r="AH18" i="25" s="1"/>
  <c r="AD18" i="25"/>
  <c r="AC18" i="25"/>
  <c r="AB18" i="25"/>
  <c r="AA18" i="25"/>
  <c r="Z18" i="25"/>
  <c r="Y18" i="25"/>
  <c r="X18" i="25"/>
  <c r="W18" i="25"/>
  <c r="AK17" i="25"/>
  <c r="AJ17" i="25"/>
  <c r="AI17" i="25"/>
  <c r="AF17" i="25"/>
  <c r="AH17" i="25" s="1"/>
  <c r="AD17" i="25"/>
  <c r="AC17" i="25"/>
  <c r="AB17" i="25"/>
  <c r="AA17" i="25"/>
  <c r="Z17" i="25"/>
  <c r="Y17" i="25"/>
  <c r="X17" i="25"/>
  <c r="W17" i="25"/>
  <c r="AK16" i="25"/>
  <c r="AJ16" i="25"/>
  <c r="AI16" i="25"/>
  <c r="AF16" i="25"/>
  <c r="AH16" i="25" s="1"/>
  <c r="AD16" i="25"/>
  <c r="AC16" i="25"/>
  <c r="AB16" i="25"/>
  <c r="AA16" i="25"/>
  <c r="Z16" i="25"/>
  <c r="Y16" i="25"/>
  <c r="X16" i="25"/>
  <c r="W16" i="25"/>
  <c r="AK15" i="25"/>
  <c r="AJ15" i="25"/>
  <c r="AI15" i="25"/>
  <c r="AF15" i="25"/>
  <c r="AH15" i="25" s="1"/>
  <c r="AD15" i="25"/>
  <c r="AC15" i="25"/>
  <c r="AB15" i="25"/>
  <c r="AA15" i="25"/>
  <c r="Z15" i="25"/>
  <c r="Y15" i="25"/>
  <c r="X15" i="25"/>
  <c r="W15" i="25"/>
  <c r="AK14" i="25"/>
  <c r="AJ14" i="25"/>
  <c r="AI14" i="25"/>
  <c r="AF14" i="25"/>
  <c r="AH14" i="25" s="1"/>
  <c r="AD14" i="25"/>
  <c r="AC14" i="25"/>
  <c r="AB14" i="25"/>
  <c r="AA14" i="25"/>
  <c r="Z14" i="25"/>
  <c r="Y14" i="25"/>
  <c r="X14" i="25"/>
  <c r="W14" i="25"/>
  <c r="AK13" i="25"/>
  <c r="AJ13" i="25"/>
  <c r="AI13" i="25"/>
  <c r="AF13" i="25"/>
  <c r="AH13" i="25" s="1"/>
  <c r="AD13" i="25"/>
  <c r="AC13" i="25"/>
  <c r="AB13" i="25"/>
  <c r="AA13" i="25"/>
  <c r="Z13" i="25"/>
  <c r="Y13" i="25"/>
  <c r="X13" i="25"/>
  <c r="W13" i="25"/>
  <c r="AK12" i="25"/>
  <c r="AJ12" i="25"/>
  <c r="AI12" i="25"/>
  <c r="AF12" i="25"/>
  <c r="AH12" i="25" s="1"/>
  <c r="AD12" i="25"/>
  <c r="AC12" i="25"/>
  <c r="AB12" i="25"/>
  <c r="AA12" i="25"/>
  <c r="Z12" i="25"/>
  <c r="Y12" i="25"/>
  <c r="X12" i="25"/>
  <c r="W12" i="25"/>
  <c r="AK11" i="25"/>
  <c r="AJ11" i="25"/>
  <c r="AI11" i="25"/>
  <c r="AF11" i="25"/>
  <c r="AH11" i="25" s="1"/>
  <c r="AD11" i="25"/>
  <c r="AC11" i="25"/>
  <c r="AB11" i="25"/>
  <c r="AA11" i="25"/>
  <c r="Z11" i="25"/>
  <c r="Y11" i="25"/>
  <c r="X11" i="25"/>
  <c r="W11" i="25"/>
  <c r="AK10" i="25"/>
  <c r="AI10" i="25"/>
  <c r="AF10" i="25"/>
  <c r="AH10" i="25" s="1"/>
  <c r="AD10" i="25"/>
  <c r="AC10" i="25"/>
  <c r="AB10" i="25"/>
  <c r="AA10" i="25"/>
  <c r="Z10" i="25"/>
  <c r="Y10" i="25"/>
  <c r="X10" i="25"/>
  <c r="W10" i="25"/>
  <c r="AK9" i="25"/>
  <c r="AJ9" i="25"/>
  <c r="AI9" i="25"/>
  <c r="AF9" i="25"/>
  <c r="AH9" i="25" s="1"/>
  <c r="AD9" i="25"/>
  <c r="AB9" i="25"/>
  <c r="AA9" i="25"/>
  <c r="Z9" i="25"/>
  <c r="Y9" i="25"/>
  <c r="X9" i="25"/>
  <c r="W9" i="25"/>
  <c r="AK8" i="25"/>
  <c r="AJ8" i="25"/>
  <c r="AI8" i="25"/>
  <c r="AD8" i="25"/>
  <c r="AC8" i="25"/>
  <c r="AB8" i="25"/>
  <c r="Y8" i="25"/>
  <c r="AK7" i="25"/>
  <c r="AJ7" i="25"/>
  <c r="AI7" i="25"/>
  <c r="AF7" i="25"/>
  <c r="AH7" i="25" s="1"/>
  <c r="AD7" i="25"/>
  <c r="AC7" i="25"/>
  <c r="AB7" i="25"/>
  <c r="AA7" i="25"/>
  <c r="Z7" i="25"/>
  <c r="Y7" i="25"/>
  <c r="X7" i="25"/>
  <c r="W7" i="25"/>
  <c r="AK6" i="25"/>
  <c r="AJ6" i="25"/>
  <c r="AI6" i="25"/>
  <c r="AD6" i="25"/>
  <c r="AC6" i="25"/>
  <c r="AB6" i="25"/>
  <c r="AA6" i="25"/>
  <c r="Z6" i="25"/>
  <c r="Y6" i="25"/>
  <c r="X6" i="25"/>
  <c r="W6" i="25"/>
  <c r="AE8" i="25" l="1"/>
  <c r="AF8" i="25" s="1"/>
  <c r="AG178" i="25"/>
  <c r="AG220" i="25"/>
  <c r="AG182" i="25"/>
  <c r="AG229" i="25"/>
  <c r="AG233" i="25"/>
  <c r="AG237" i="25"/>
  <c r="AG241" i="25"/>
  <c r="AG248" i="25"/>
  <c r="AG255" i="25"/>
  <c r="AG219" i="25"/>
  <c r="AG125" i="25"/>
  <c r="AG145" i="25"/>
  <c r="AG10" i="25"/>
  <c r="AG11" i="25"/>
  <c r="AG21" i="25"/>
  <c r="AG25" i="25"/>
  <c r="AG58" i="25"/>
  <c r="AG62" i="25"/>
  <c r="AG66" i="25"/>
  <c r="AG71" i="25"/>
  <c r="AG74" i="25"/>
  <c r="AG78" i="25"/>
  <c r="AG82" i="25"/>
  <c r="AG86" i="25"/>
  <c r="AG90" i="25"/>
  <c r="AG95" i="25"/>
  <c r="AG98" i="25"/>
  <c r="AG102" i="25"/>
  <c r="AG106" i="25"/>
  <c r="AG110" i="25"/>
  <c r="AG111" i="25"/>
  <c r="AG115" i="25"/>
  <c r="AG119" i="25"/>
  <c r="AG170" i="25"/>
  <c r="AG141" i="25"/>
  <c r="AG207" i="25"/>
  <c r="AG213" i="25"/>
  <c r="AG217" i="25"/>
  <c r="AG144" i="25"/>
  <c r="AG148" i="25"/>
  <c r="AG152" i="25"/>
  <c r="AG120" i="25"/>
  <c r="AG124" i="25"/>
  <c r="AG129" i="25"/>
  <c r="AG133" i="25"/>
  <c r="AG142" i="25"/>
  <c r="AG146" i="25"/>
  <c r="AG150" i="25"/>
  <c r="AG154" i="25"/>
  <c r="AG158" i="25"/>
  <c r="AG162" i="25"/>
  <c r="AG171" i="25"/>
  <c r="AG199" i="25"/>
  <c r="AG252" i="25"/>
  <c r="AE141" i="25"/>
  <c r="AF141" i="25" s="1"/>
  <c r="AH141" i="25" s="1"/>
  <c r="AE170" i="25"/>
  <c r="AF170" i="25" s="1"/>
  <c r="AH170" i="25" s="1"/>
  <c r="AE171" i="25"/>
  <c r="AF171" i="25" s="1"/>
  <c r="AH171" i="25" s="1"/>
  <c r="AE183" i="25"/>
  <c r="AF183" i="25" s="1"/>
  <c r="AH183" i="25" s="1"/>
  <c r="AG93" i="25"/>
  <c r="AG96" i="25"/>
  <c r="AG100" i="25"/>
  <c r="AG104" i="25"/>
  <c r="AG108" i="25"/>
  <c r="AG113" i="25"/>
  <c r="AG117" i="25"/>
  <c r="AG121" i="25"/>
  <c r="AG184" i="25"/>
  <c r="AG188" i="25"/>
  <c r="AG225" i="25"/>
  <c r="AG57" i="25"/>
  <c r="AE205" i="25"/>
  <c r="AF205" i="25" s="1"/>
  <c r="AH205" i="25" s="1"/>
  <c r="AG208" i="25"/>
  <c r="AE209" i="25"/>
  <c r="AF209" i="25" s="1"/>
  <c r="AH209" i="25" s="1"/>
  <c r="AG214" i="25"/>
  <c r="AE215" i="25"/>
  <c r="AF215" i="25" s="1"/>
  <c r="AH215" i="25" s="1"/>
  <c r="AG218" i="25"/>
  <c r="AG256" i="25"/>
  <c r="AE120" i="25"/>
  <c r="AF120" i="25" s="1"/>
  <c r="AH120" i="25" s="1"/>
  <c r="AG14" i="25"/>
  <c r="AG15" i="25"/>
  <c r="AG16" i="25"/>
  <c r="AG39" i="25"/>
  <c r="AG43" i="25"/>
  <c r="AG47" i="25"/>
  <c r="AG51" i="25"/>
  <c r="AG55" i="25"/>
  <c r="AG192" i="25"/>
  <c r="AG196" i="25"/>
  <c r="AG200" i="25"/>
  <c r="AG230" i="25"/>
  <c r="AG202" i="25"/>
  <c r="AG206" i="25"/>
  <c r="AE225" i="25"/>
  <c r="AF225" i="25" s="1"/>
  <c r="AH225" i="25" s="1"/>
  <c r="AE7" i="25"/>
  <c r="AG12" i="25"/>
  <c r="AE31" i="25"/>
  <c r="AF31" i="25" s="1"/>
  <c r="AH31" i="25" s="1"/>
  <c r="AE36" i="25"/>
  <c r="AE37" i="25"/>
  <c r="AF37" i="25" s="1"/>
  <c r="AH37" i="25" s="1"/>
  <c r="AE41" i="25"/>
  <c r="AF41" i="25" s="1"/>
  <c r="AH41" i="25" s="1"/>
  <c r="AE45" i="25"/>
  <c r="AF45" i="25" s="1"/>
  <c r="AH45" i="25" s="1"/>
  <c r="AE49" i="25"/>
  <c r="AF49" i="25" s="1"/>
  <c r="AH49" i="25" s="1"/>
  <c r="AG52" i="25"/>
  <c r="AG56" i="25"/>
  <c r="AE57" i="25"/>
  <c r="AF57" i="25" s="1"/>
  <c r="AH57" i="25" s="1"/>
  <c r="AE106" i="25"/>
  <c r="AF106" i="25" s="1"/>
  <c r="AH106" i="25" s="1"/>
  <c r="AE110" i="25"/>
  <c r="AF110" i="25" s="1"/>
  <c r="AH110" i="25" s="1"/>
  <c r="AE111" i="25"/>
  <c r="AF111" i="25" s="1"/>
  <c r="AH111" i="25" s="1"/>
  <c r="AE115" i="25"/>
  <c r="AF115" i="25" s="1"/>
  <c r="AH115" i="25" s="1"/>
  <c r="AG118" i="25"/>
  <c r="AG131" i="25"/>
  <c r="AG135" i="25"/>
  <c r="AE136" i="25"/>
  <c r="AF136" i="25" s="1"/>
  <c r="AH136" i="25" s="1"/>
  <c r="AG160" i="25"/>
  <c r="AG164" i="25"/>
  <c r="AE165" i="25"/>
  <c r="AF165" i="25" s="1"/>
  <c r="AH165" i="25" s="1"/>
  <c r="AG177" i="25"/>
  <c r="AE178" i="25"/>
  <c r="AF178" i="25" s="1"/>
  <c r="AH178" i="25" s="1"/>
  <c r="AG194" i="25"/>
  <c r="AG198" i="25"/>
  <c r="AE199" i="25"/>
  <c r="AF199" i="25" s="1"/>
  <c r="AH199" i="25" s="1"/>
  <c r="AG240" i="25"/>
  <c r="AE241" i="25"/>
  <c r="AF241" i="25" s="1"/>
  <c r="AH241" i="25" s="1"/>
  <c r="AG245" i="25"/>
  <c r="AG210" i="25"/>
  <c r="AG216" i="25"/>
  <c r="AE269" i="25"/>
  <c r="AE272" i="25"/>
  <c r="AE276" i="25"/>
  <c r="AG13" i="25"/>
  <c r="AG17" i="25"/>
  <c r="AG18" i="25"/>
  <c r="AG19" i="25"/>
  <c r="AG20" i="25"/>
  <c r="AG59" i="25"/>
  <c r="AG63" i="25"/>
  <c r="AG67" i="25"/>
  <c r="AG72" i="25"/>
  <c r="AG75" i="25"/>
  <c r="AG79" i="25"/>
  <c r="AG83" i="25"/>
  <c r="AG87" i="25"/>
  <c r="AG92" i="25"/>
  <c r="AG112" i="25"/>
  <c r="AG126" i="25"/>
  <c r="AG130" i="25"/>
  <c r="AE131" i="25"/>
  <c r="AF131" i="25" s="1"/>
  <c r="AH131" i="25" s="1"/>
  <c r="AG137" i="25"/>
  <c r="AG147" i="25"/>
  <c r="AG151" i="25"/>
  <c r="AG155" i="25"/>
  <c r="AG159" i="25"/>
  <c r="AE160" i="25"/>
  <c r="AF160" i="25" s="1"/>
  <c r="AH160" i="25" s="1"/>
  <c r="AG166" i="25"/>
  <c r="AG222" i="25"/>
  <c r="AG175" i="25"/>
  <c r="AG176" i="25"/>
  <c r="AG179" i="25"/>
  <c r="AG180" i="25"/>
  <c r="AG189" i="25"/>
  <c r="AG193" i="25"/>
  <c r="AE194" i="25"/>
  <c r="AF194" i="25" s="1"/>
  <c r="AH194" i="25" s="1"/>
  <c r="AG235" i="25"/>
  <c r="AE236" i="25"/>
  <c r="AF236" i="25" s="1"/>
  <c r="AH236" i="25" s="1"/>
  <c r="AE255" i="25"/>
  <c r="AE256" i="25"/>
  <c r="AG257" i="25"/>
  <c r="AG7" i="25"/>
  <c r="AE14" i="25"/>
  <c r="AE15" i="25"/>
  <c r="AE16" i="25"/>
  <c r="AG31" i="25"/>
  <c r="AG36" i="25"/>
  <c r="AG53" i="25"/>
  <c r="AE125" i="25"/>
  <c r="AF125" i="25" s="1"/>
  <c r="AH125" i="25" s="1"/>
  <c r="AE147" i="25"/>
  <c r="AF147" i="25" s="1"/>
  <c r="AH147" i="25" s="1"/>
  <c r="AG149" i="25"/>
  <c r="AE151" i="25"/>
  <c r="AF151" i="25" s="1"/>
  <c r="AH151" i="25" s="1"/>
  <c r="AG153" i="25"/>
  <c r="AE155" i="25"/>
  <c r="AF155" i="25" s="1"/>
  <c r="AH155" i="25" s="1"/>
  <c r="AG157" i="25"/>
  <c r="AG161" i="25"/>
  <c r="AG174" i="25"/>
  <c r="AE188" i="25"/>
  <c r="AF188" i="25" s="1"/>
  <c r="AH188" i="25" s="1"/>
  <c r="AG195" i="25"/>
  <c r="AE231" i="25"/>
  <c r="AF231" i="25" s="1"/>
  <c r="AH231" i="25" s="1"/>
  <c r="AE248" i="25"/>
  <c r="AF248" i="25" s="1"/>
  <c r="AH248" i="25" s="1"/>
  <c r="AE249" i="25"/>
  <c r="AF249" i="25" s="1"/>
  <c r="AH249" i="25" s="1"/>
  <c r="AG251" i="25"/>
  <c r="AE9" i="25"/>
  <c r="AE10" i="25"/>
  <c r="AE11" i="25"/>
  <c r="AE12" i="25"/>
  <c r="AE20" i="25"/>
  <c r="AE39" i="25"/>
  <c r="AF39" i="25" s="1"/>
  <c r="AH39" i="25" s="1"/>
  <c r="AE47" i="25"/>
  <c r="AF47" i="25" s="1"/>
  <c r="AH47" i="25" s="1"/>
  <c r="AG6" i="25"/>
  <c r="AG8" i="25"/>
  <c r="AE13" i="25"/>
  <c r="AE21" i="25"/>
  <c r="AE22" i="25"/>
  <c r="AE23" i="25"/>
  <c r="AE24" i="25"/>
  <c r="AE25" i="25"/>
  <c r="AE26" i="25"/>
  <c r="AG122" i="25"/>
  <c r="AE6" i="25"/>
  <c r="AF6" i="25" s="1"/>
  <c r="AH6" i="25" s="1"/>
  <c r="AH8" i="25"/>
  <c r="AG9" i="25"/>
  <c r="AE17" i="25"/>
  <c r="AG22" i="25"/>
  <c r="AG23" i="25"/>
  <c r="AG24" i="25"/>
  <c r="AG26" i="25"/>
  <c r="AG27" i="25"/>
  <c r="AG28" i="25"/>
  <c r="AG29" i="25"/>
  <c r="AE30" i="25"/>
  <c r="AF30" i="25" s="1"/>
  <c r="AH30" i="25" s="1"/>
  <c r="AG32" i="25"/>
  <c r="AG33" i="25"/>
  <c r="AE34" i="25"/>
  <c r="AE35" i="25"/>
  <c r="AF35" i="25" s="1"/>
  <c r="AH35" i="25" s="1"/>
  <c r="AG38" i="25"/>
  <c r="AE40" i="25"/>
  <c r="AF40" i="25" s="1"/>
  <c r="AH40" i="25" s="1"/>
  <c r="AG42" i="25"/>
  <c r="AE44" i="25"/>
  <c r="AF44" i="25" s="1"/>
  <c r="AH44" i="25" s="1"/>
  <c r="AG46" i="25"/>
  <c r="AE48" i="25"/>
  <c r="AF48" i="25" s="1"/>
  <c r="AH48" i="25" s="1"/>
  <c r="AG50" i="25"/>
  <c r="AE18" i="25"/>
  <c r="AE19" i="25"/>
  <c r="AE29" i="25"/>
  <c r="AF29" i="25" s="1"/>
  <c r="AH29" i="25" s="1"/>
  <c r="AE33" i="25"/>
  <c r="AF33" i="25" s="1"/>
  <c r="AH33" i="25" s="1"/>
  <c r="AE43" i="25"/>
  <c r="AF43" i="25" s="1"/>
  <c r="AH43" i="25" s="1"/>
  <c r="AE51" i="25"/>
  <c r="AF51" i="25" s="1"/>
  <c r="AH51" i="25" s="1"/>
  <c r="AG60" i="25"/>
  <c r="AG64" i="25"/>
  <c r="AG68" i="25"/>
  <c r="AG73" i="25"/>
  <c r="AG76" i="25"/>
  <c r="AG80" i="25"/>
  <c r="AG84" i="25"/>
  <c r="AG88" i="25"/>
  <c r="AE105" i="25"/>
  <c r="AF105" i="25" s="1"/>
  <c r="AH105" i="25" s="1"/>
  <c r="AE109" i="25"/>
  <c r="AF109" i="25" s="1"/>
  <c r="AH109" i="25" s="1"/>
  <c r="AE114" i="25"/>
  <c r="AF114" i="25" s="1"/>
  <c r="AH114" i="25" s="1"/>
  <c r="AE118" i="25"/>
  <c r="AF118" i="25" s="1"/>
  <c r="AH118" i="25" s="1"/>
  <c r="AE119" i="25"/>
  <c r="AF119" i="25" s="1"/>
  <c r="AH119" i="25" s="1"/>
  <c r="AE124" i="25"/>
  <c r="AF124" i="25" s="1"/>
  <c r="AH124" i="25" s="1"/>
  <c r="AG128" i="25"/>
  <c r="AE129" i="25"/>
  <c r="AF129" i="25" s="1"/>
  <c r="AH129" i="25" s="1"/>
  <c r="AG134" i="25"/>
  <c r="AE135" i="25"/>
  <c r="AF135" i="25" s="1"/>
  <c r="AH135" i="25" s="1"/>
  <c r="AG139" i="25"/>
  <c r="AE140" i="25"/>
  <c r="AF140" i="25" s="1"/>
  <c r="AH140" i="25" s="1"/>
  <c r="AE145" i="25"/>
  <c r="AF145" i="25" s="1"/>
  <c r="AH145" i="25" s="1"/>
  <c r="AE158" i="25"/>
  <c r="AF158" i="25" s="1"/>
  <c r="AH158" i="25" s="1"/>
  <c r="AE159" i="25"/>
  <c r="AF159" i="25" s="1"/>
  <c r="AH159" i="25" s="1"/>
  <c r="AG163" i="25"/>
  <c r="AE164" i="25"/>
  <c r="AF164" i="25" s="1"/>
  <c r="AH164" i="25" s="1"/>
  <c r="AG168" i="25"/>
  <c r="AE169" i="25"/>
  <c r="AF169" i="25" s="1"/>
  <c r="AH169" i="25" s="1"/>
  <c r="AG221" i="25"/>
  <c r="AE222" i="25"/>
  <c r="AF222" i="25" s="1"/>
  <c r="AH222" i="25" s="1"/>
  <c r="AG181" i="25"/>
  <c r="AE182" i="25"/>
  <c r="AF182" i="25" s="1"/>
  <c r="AH182" i="25" s="1"/>
  <c r="AG186" i="25"/>
  <c r="AE187" i="25"/>
  <c r="AF187" i="25" s="1"/>
  <c r="AH187" i="25" s="1"/>
  <c r="AG191" i="25"/>
  <c r="AE192" i="25"/>
  <c r="AF192" i="25" s="1"/>
  <c r="AH192" i="25" s="1"/>
  <c r="AG197" i="25"/>
  <c r="AE198" i="25"/>
  <c r="AF198" i="25" s="1"/>
  <c r="AH198" i="25" s="1"/>
  <c r="AG223" i="25"/>
  <c r="AE224" i="25"/>
  <c r="AF224" i="25" s="1"/>
  <c r="AH224" i="25" s="1"/>
  <c r="AG228" i="25"/>
  <c r="AE229" i="25"/>
  <c r="AF229" i="25" s="1"/>
  <c r="AH229" i="25" s="1"/>
  <c r="AG234" i="25"/>
  <c r="AE235" i="25"/>
  <c r="AF235" i="25" s="1"/>
  <c r="AH235" i="25" s="1"/>
  <c r="AG239" i="25"/>
  <c r="AE240" i="25"/>
  <c r="AF240" i="25" s="1"/>
  <c r="AH240" i="25" s="1"/>
  <c r="AG244" i="25"/>
  <c r="AE245" i="25"/>
  <c r="AF245" i="25" s="1"/>
  <c r="AH245" i="25" s="1"/>
  <c r="AG246" i="25"/>
  <c r="AE247" i="25"/>
  <c r="AF247" i="25" s="1"/>
  <c r="AH247" i="25" s="1"/>
  <c r="AE267" i="25"/>
  <c r="AE270" i="25"/>
  <c r="AE277" i="25"/>
  <c r="AE27" i="25"/>
  <c r="AE28" i="25"/>
  <c r="AF28" i="25" s="1"/>
  <c r="AH28" i="25" s="1"/>
  <c r="AG30" i="25"/>
  <c r="AE32" i="25"/>
  <c r="AF32" i="25" s="1"/>
  <c r="AH32" i="25" s="1"/>
  <c r="AG34" i="25"/>
  <c r="AG35" i="25"/>
  <c r="AG37" i="25"/>
  <c r="AE38" i="25"/>
  <c r="AF38" i="25" s="1"/>
  <c r="AH38" i="25" s="1"/>
  <c r="AG40" i="25"/>
  <c r="AG41" i="25"/>
  <c r="AE42" i="25"/>
  <c r="AF42" i="25" s="1"/>
  <c r="AH42" i="25" s="1"/>
  <c r="AG44" i="25"/>
  <c r="AG45" i="25"/>
  <c r="AE46" i="25"/>
  <c r="AF46" i="25" s="1"/>
  <c r="AH46" i="25" s="1"/>
  <c r="AG48" i="25"/>
  <c r="AG49" i="25"/>
  <c r="AE50" i="25"/>
  <c r="AF50" i="25" s="1"/>
  <c r="AH50" i="25" s="1"/>
  <c r="AG54" i="25"/>
  <c r="AE55" i="25"/>
  <c r="AF55" i="25" s="1"/>
  <c r="AH55" i="25" s="1"/>
  <c r="AG99" i="25"/>
  <c r="AG103" i="25"/>
  <c r="AG107" i="25"/>
  <c r="AE108" i="25"/>
  <c r="AF108" i="25" s="1"/>
  <c r="AH108" i="25" s="1"/>
  <c r="AE113" i="25"/>
  <c r="AF113" i="25" s="1"/>
  <c r="AH113" i="25" s="1"/>
  <c r="AG116" i="25"/>
  <c r="AE117" i="25"/>
  <c r="AF117" i="25" s="1"/>
  <c r="AH117" i="25" s="1"/>
  <c r="AE122" i="25"/>
  <c r="AF122" i="25" s="1"/>
  <c r="AH122" i="25" s="1"/>
  <c r="AE123" i="25"/>
  <c r="AF123" i="25" s="1"/>
  <c r="AH123" i="25" s="1"/>
  <c r="AG127" i="25"/>
  <c r="AE128" i="25"/>
  <c r="AF128" i="25" s="1"/>
  <c r="AH128" i="25" s="1"/>
  <c r="AG132" i="25"/>
  <c r="AE133" i="25"/>
  <c r="AF133" i="25" s="1"/>
  <c r="AH133" i="25" s="1"/>
  <c r="AG136" i="25"/>
  <c r="AG138" i="25"/>
  <c r="AE139" i="25"/>
  <c r="AF139" i="25" s="1"/>
  <c r="AH139" i="25" s="1"/>
  <c r="AG143" i="25"/>
  <c r="AE144" i="25"/>
  <c r="AF144" i="25" s="1"/>
  <c r="AH144" i="25" s="1"/>
  <c r="AE149" i="25"/>
  <c r="AF149" i="25" s="1"/>
  <c r="AH149" i="25" s="1"/>
  <c r="AE153" i="25"/>
  <c r="AF153" i="25" s="1"/>
  <c r="AH153" i="25" s="1"/>
  <c r="AG156" i="25"/>
  <c r="AE157" i="25"/>
  <c r="AF157" i="25" s="1"/>
  <c r="AH157" i="25" s="1"/>
  <c r="AE162" i="25"/>
  <c r="AF162" i="25" s="1"/>
  <c r="AH162" i="25" s="1"/>
  <c r="AE163" i="25"/>
  <c r="AF163" i="25" s="1"/>
  <c r="AH163" i="25" s="1"/>
  <c r="AG165" i="25"/>
  <c r="AG167" i="25"/>
  <c r="AE168" i="25"/>
  <c r="AF168" i="25" s="1"/>
  <c r="AH168" i="25" s="1"/>
  <c r="AG172" i="25"/>
  <c r="AE220" i="25"/>
  <c r="AF220" i="25" s="1"/>
  <c r="AH220" i="25" s="1"/>
  <c r="AE221" i="25"/>
  <c r="AF221" i="25" s="1"/>
  <c r="AH221" i="25" s="1"/>
  <c r="AG173" i="25"/>
  <c r="AE175" i="25"/>
  <c r="AF175" i="25" s="1"/>
  <c r="AH175" i="25" s="1"/>
  <c r="AE180" i="25"/>
  <c r="AF180" i="25" s="1"/>
  <c r="AH180" i="25" s="1"/>
  <c r="AG183" i="25"/>
  <c r="AG185" i="25"/>
  <c r="AE186" i="25"/>
  <c r="AF186" i="25" s="1"/>
  <c r="AH186" i="25" s="1"/>
  <c r="AG190" i="25"/>
  <c r="AE191" i="25"/>
  <c r="AF191" i="25" s="1"/>
  <c r="AH191" i="25" s="1"/>
  <c r="AE196" i="25"/>
  <c r="AF196" i="25" s="1"/>
  <c r="AH196" i="25" s="1"/>
  <c r="AG201" i="25"/>
  <c r="AE223" i="25"/>
  <c r="AF223" i="25" s="1"/>
  <c r="AH223" i="25" s="1"/>
  <c r="AG227" i="25"/>
  <c r="AE228" i="25"/>
  <c r="AF228" i="25" s="1"/>
  <c r="AH228" i="25" s="1"/>
  <c r="AG232" i="25"/>
  <c r="AE233" i="25"/>
  <c r="AF233" i="25" s="1"/>
  <c r="AH233" i="25" s="1"/>
  <c r="AG238" i="25"/>
  <c r="AE239" i="25"/>
  <c r="AF239" i="25" s="1"/>
  <c r="AH239" i="25" s="1"/>
  <c r="AG243" i="25"/>
  <c r="AE244" i="25"/>
  <c r="AF244" i="25" s="1"/>
  <c r="AH244" i="25" s="1"/>
  <c r="AE246" i="25"/>
  <c r="AF246" i="25" s="1"/>
  <c r="AH246" i="25" s="1"/>
  <c r="AG250" i="25"/>
  <c r="AE251" i="25"/>
  <c r="AE252" i="25"/>
  <c r="AG253" i="25"/>
  <c r="AG254" i="25"/>
  <c r="AE264" i="25"/>
  <c r="AE278" i="25"/>
  <c r="AE53" i="25"/>
  <c r="AF53" i="25" s="1"/>
  <c r="AH53" i="25" s="1"/>
  <c r="AE59" i="25"/>
  <c r="AF59" i="25" s="1"/>
  <c r="AH59" i="25" s="1"/>
  <c r="AG61" i="25"/>
  <c r="AE63" i="25"/>
  <c r="AF63" i="25" s="1"/>
  <c r="AH63" i="25" s="1"/>
  <c r="AG65" i="25"/>
  <c r="AE67" i="25"/>
  <c r="AF67" i="25" s="1"/>
  <c r="AH67" i="25" s="1"/>
  <c r="AG70" i="25"/>
  <c r="AE72" i="25"/>
  <c r="AF72" i="25" s="1"/>
  <c r="AH72" i="25" s="1"/>
  <c r="AG69" i="25"/>
  <c r="AE75" i="25"/>
  <c r="AF75" i="25" s="1"/>
  <c r="AH75" i="25" s="1"/>
  <c r="AG77" i="25"/>
  <c r="AE79" i="25"/>
  <c r="AF79" i="25" s="1"/>
  <c r="AH79" i="25" s="1"/>
  <c r="AG81" i="25"/>
  <c r="AE83" i="25"/>
  <c r="AF83" i="25" s="1"/>
  <c r="AH83" i="25" s="1"/>
  <c r="AG85" i="25"/>
  <c r="AE87" i="25"/>
  <c r="AF87" i="25" s="1"/>
  <c r="AH87" i="25" s="1"/>
  <c r="AG89" i="25"/>
  <c r="AE92" i="25"/>
  <c r="AF92" i="25" s="1"/>
  <c r="AH92" i="25" s="1"/>
  <c r="AG94" i="25"/>
  <c r="AG97" i="25"/>
  <c r="AE99" i="25"/>
  <c r="AF99" i="25" s="1"/>
  <c r="AH99" i="25" s="1"/>
  <c r="AG101" i="25"/>
  <c r="AE103" i="25"/>
  <c r="AF103" i="25" s="1"/>
  <c r="AH103" i="25" s="1"/>
  <c r="AG105" i="25"/>
  <c r="AE107" i="25"/>
  <c r="AF107" i="25" s="1"/>
  <c r="AH107" i="25" s="1"/>
  <c r="AG109" i="25"/>
  <c r="AE112" i="25"/>
  <c r="AF112" i="25" s="1"/>
  <c r="AH112" i="25" s="1"/>
  <c r="AG114" i="25"/>
  <c r="AE116" i="25"/>
  <c r="AF116" i="25" s="1"/>
  <c r="AH116" i="25" s="1"/>
  <c r="AE121" i="25"/>
  <c r="AF121" i="25" s="1"/>
  <c r="AH121" i="25" s="1"/>
  <c r="AE127" i="25"/>
  <c r="AF127" i="25" s="1"/>
  <c r="AH127" i="25" s="1"/>
  <c r="AE132" i="25"/>
  <c r="AF132" i="25" s="1"/>
  <c r="AH132" i="25" s="1"/>
  <c r="AE137" i="25"/>
  <c r="AF137" i="25" s="1"/>
  <c r="AH137" i="25" s="1"/>
  <c r="AG140" i="25"/>
  <c r="AE143" i="25"/>
  <c r="AF143" i="25" s="1"/>
  <c r="AH143" i="25" s="1"/>
  <c r="AE148" i="25"/>
  <c r="AF148" i="25" s="1"/>
  <c r="AH148" i="25" s="1"/>
  <c r="AE152" i="25"/>
  <c r="AF152" i="25" s="1"/>
  <c r="AH152" i="25" s="1"/>
  <c r="AE156" i="25"/>
  <c r="AF156" i="25" s="1"/>
  <c r="AH156" i="25" s="1"/>
  <c r="AE161" i="25"/>
  <c r="AF161" i="25" s="1"/>
  <c r="AH161" i="25" s="1"/>
  <c r="AE166" i="25"/>
  <c r="AF166" i="25" s="1"/>
  <c r="AH166" i="25" s="1"/>
  <c r="AE167" i="25"/>
  <c r="AF167" i="25" s="1"/>
  <c r="AH167" i="25" s="1"/>
  <c r="AG169" i="25"/>
  <c r="AE172" i="25"/>
  <c r="AF172" i="25" s="1"/>
  <c r="AH172" i="25" s="1"/>
  <c r="AE219" i="25"/>
  <c r="AF219" i="25" s="1"/>
  <c r="AH219" i="25" s="1"/>
  <c r="AE174" i="25"/>
  <c r="AF174" i="25" s="1"/>
  <c r="AH174" i="25" s="1"/>
  <c r="AE179" i="25"/>
  <c r="AF179" i="25" s="1"/>
  <c r="AH179" i="25" s="1"/>
  <c r="AE184" i="25"/>
  <c r="AF184" i="25" s="1"/>
  <c r="AH184" i="25" s="1"/>
  <c r="AG187" i="25"/>
  <c r="AE190" i="25"/>
  <c r="AF190" i="25" s="1"/>
  <c r="AH190" i="25" s="1"/>
  <c r="AE195" i="25"/>
  <c r="AF195" i="25" s="1"/>
  <c r="AH195" i="25" s="1"/>
  <c r="AE200" i="25"/>
  <c r="AF200" i="25" s="1"/>
  <c r="AH200" i="25" s="1"/>
  <c r="AG224" i="25"/>
  <c r="AG226" i="25"/>
  <c r="AE227" i="25"/>
  <c r="AF227" i="25" s="1"/>
  <c r="AH227" i="25" s="1"/>
  <c r="AG231" i="25"/>
  <c r="AE232" i="25"/>
  <c r="AF232" i="25" s="1"/>
  <c r="AH232" i="25" s="1"/>
  <c r="AG236" i="25"/>
  <c r="AE237" i="25"/>
  <c r="AF237" i="25" s="1"/>
  <c r="AH237" i="25" s="1"/>
  <c r="AG242" i="25"/>
  <c r="AE243" i="25"/>
  <c r="AF243" i="25" s="1"/>
  <c r="AH243" i="25" s="1"/>
  <c r="AG205" i="25"/>
  <c r="AG209" i="25"/>
  <c r="AG215" i="25"/>
  <c r="AG247" i="25"/>
  <c r="AG249" i="25"/>
  <c r="AE250" i="25"/>
  <c r="AF250" i="25" s="1"/>
  <c r="AH250" i="25" s="1"/>
  <c r="AE254" i="25"/>
  <c r="AE268" i="25"/>
  <c r="AE275" i="25"/>
  <c r="AE54" i="25"/>
  <c r="AF54" i="25" s="1"/>
  <c r="AH54" i="25" s="1"/>
  <c r="AE58" i="25"/>
  <c r="AF58" i="25" s="1"/>
  <c r="AH58" i="25" s="1"/>
  <c r="AE52" i="25"/>
  <c r="AF52" i="25" s="1"/>
  <c r="AH52" i="25" s="1"/>
  <c r="AE60" i="25"/>
  <c r="AF60" i="25" s="1"/>
  <c r="AH60" i="25" s="1"/>
  <c r="AE61" i="25"/>
  <c r="AF61" i="25" s="1"/>
  <c r="AH61" i="25" s="1"/>
  <c r="AE62" i="25"/>
  <c r="AF62" i="25" s="1"/>
  <c r="AH62" i="25" s="1"/>
  <c r="AE64" i="25"/>
  <c r="AF64" i="25" s="1"/>
  <c r="AH64" i="25" s="1"/>
  <c r="AE65" i="25"/>
  <c r="AF65" i="25" s="1"/>
  <c r="AH65" i="25" s="1"/>
  <c r="AE66" i="25"/>
  <c r="AF66" i="25" s="1"/>
  <c r="AH66" i="25" s="1"/>
  <c r="AE68" i="25"/>
  <c r="AF68" i="25" s="1"/>
  <c r="AH68" i="25" s="1"/>
  <c r="AE70" i="25"/>
  <c r="AF70" i="25" s="1"/>
  <c r="AH70" i="25" s="1"/>
  <c r="AE71" i="25"/>
  <c r="AF71" i="25" s="1"/>
  <c r="AH71" i="25" s="1"/>
  <c r="AE73" i="25"/>
  <c r="AF73" i="25" s="1"/>
  <c r="AH73" i="25" s="1"/>
  <c r="AE69" i="25"/>
  <c r="AF69" i="25" s="1"/>
  <c r="AH69" i="25" s="1"/>
  <c r="AE74" i="25"/>
  <c r="AF74" i="25" s="1"/>
  <c r="AH74" i="25" s="1"/>
  <c r="AE76" i="25"/>
  <c r="AF76" i="25" s="1"/>
  <c r="AH76" i="25" s="1"/>
  <c r="AE77" i="25"/>
  <c r="AF77" i="25" s="1"/>
  <c r="AH77" i="25" s="1"/>
  <c r="AE78" i="25"/>
  <c r="AF78" i="25" s="1"/>
  <c r="AH78" i="25" s="1"/>
  <c r="AE80" i="25"/>
  <c r="AF80" i="25" s="1"/>
  <c r="AH80" i="25" s="1"/>
  <c r="AE81" i="25"/>
  <c r="AF81" i="25" s="1"/>
  <c r="AH81" i="25" s="1"/>
  <c r="AE82" i="25"/>
  <c r="AF82" i="25" s="1"/>
  <c r="AH82" i="25" s="1"/>
  <c r="AE84" i="25"/>
  <c r="AF84" i="25" s="1"/>
  <c r="AH84" i="25" s="1"/>
  <c r="AE85" i="25"/>
  <c r="AF85" i="25" s="1"/>
  <c r="AH85" i="25" s="1"/>
  <c r="AE86" i="25"/>
  <c r="AF86" i="25" s="1"/>
  <c r="AH86" i="25" s="1"/>
  <c r="AE88" i="25"/>
  <c r="AF88" i="25" s="1"/>
  <c r="AH88" i="25" s="1"/>
  <c r="AE89" i="25"/>
  <c r="AF89" i="25" s="1"/>
  <c r="AH89" i="25" s="1"/>
  <c r="AE90" i="25"/>
  <c r="AF90" i="25" s="1"/>
  <c r="AH90" i="25" s="1"/>
  <c r="AE93" i="25"/>
  <c r="AF93" i="25" s="1"/>
  <c r="AH93" i="25" s="1"/>
  <c r="AE94" i="25"/>
  <c r="AF94" i="25" s="1"/>
  <c r="AH94" i="25" s="1"/>
  <c r="AE95" i="25"/>
  <c r="AF95" i="25" s="1"/>
  <c r="AH95" i="25" s="1"/>
  <c r="AE96" i="25"/>
  <c r="AF96" i="25" s="1"/>
  <c r="AH96" i="25" s="1"/>
  <c r="AE97" i="25"/>
  <c r="AF97" i="25" s="1"/>
  <c r="AH97" i="25" s="1"/>
  <c r="AE98" i="25"/>
  <c r="AF98" i="25" s="1"/>
  <c r="AH98" i="25" s="1"/>
  <c r="AE100" i="25"/>
  <c r="AF100" i="25" s="1"/>
  <c r="AH100" i="25" s="1"/>
  <c r="AE101" i="25"/>
  <c r="AF101" i="25" s="1"/>
  <c r="AH101" i="25" s="1"/>
  <c r="AE102" i="25"/>
  <c r="AF102" i="25" s="1"/>
  <c r="AH102" i="25" s="1"/>
  <c r="AE104" i="25"/>
  <c r="AF104" i="25" s="1"/>
  <c r="AH104" i="25" s="1"/>
  <c r="AE56" i="25"/>
  <c r="AF56" i="25" s="1"/>
  <c r="AH56" i="25" s="1"/>
  <c r="AG123" i="25"/>
  <c r="AE126" i="25"/>
  <c r="AF126" i="25" s="1"/>
  <c r="AH126" i="25" s="1"/>
  <c r="AE130" i="25"/>
  <c r="AF130" i="25" s="1"/>
  <c r="AH130" i="25" s="1"/>
  <c r="AE134" i="25"/>
  <c r="AF134" i="25" s="1"/>
  <c r="AH134" i="25" s="1"/>
  <c r="AE138" i="25"/>
  <c r="AF138" i="25" s="1"/>
  <c r="AH138" i="25" s="1"/>
  <c r="AE142" i="25"/>
  <c r="AF142" i="25" s="1"/>
  <c r="AH142" i="25" s="1"/>
  <c r="AE146" i="25"/>
  <c r="AF146" i="25" s="1"/>
  <c r="AH146" i="25" s="1"/>
  <c r="AE150" i="25"/>
  <c r="AF150" i="25" s="1"/>
  <c r="AH150" i="25" s="1"/>
  <c r="AE154" i="25"/>
  <c r="AF154" i="25" s="1"/>
  <c r="AH154" i="25" s="1"/>
  <c r="AE173" i="25"/>
  <c r="AF173" i="25" s="1"/>
  <c r="AH173" i="25" s="1"/>
  <c r="AE177" i="25"/>
  <c r="AF177" i="25" s="1"/>
  <c r="AH177" i="25" s="1"/>
  <c r="AE181" i="25"/>
  <c r="AF181" i="25" s="1"/>
  <c r="AH181" i="25" s="1"/>
  <c r="AE185" i="25"/>
  <c r="AF185" i="25" s="1"/>
  <c r="AH185" i="25" s="1"/>
  <c r="AE189" i="25"/>
  <c r="AF189" i="25" s="1"/>
  <c r="AH189" i="25" s="1"/>
  <c r="AE193" i="25"/>
  <c r="AF193" i="25" s="1"/>
  <c r="AH193" i="25" s="1"/>
  <c r="AE197" i="25"/>
  <c r="AF197" i="25" s="1"/>
  <c r="AH197" i="25" s="1"/>
  <c r="AE201" i="25"/>
  <c r="AF201" i="25" s="1"/>
  <c r="AH201" i="25" s="1"/>
  <c r="AE226" i="25"/>
  <c r="AF226" i="25" s="1"/>
  <c r="AH226" i="25" s="1"/>
  <c r="AE230" i="25"/>
  <c r="AF230" i="25" s="1"/>
  <c r="AH230" i="25" s="1"/>
  <c r="AE234" i="25"/>
  <c r="AF234" i="25" s="1"/>
  <c r="AH234" i="25" s="1"/>
  <c r="AE238" i="25"/>
  <c r="AF238" i="25" s="1"/>
  <c r="AH238" i="25" s="1"/>
  <c r="AE242" i="25"/>
  <c r="AF242" i="25" s="1"/>
  <c r="AH242" i="25" s="1"/>
  <c r="AE202" i="25"/>
  <c r="AF202" i="25" s="1"/>
  <c r="AH202" i="25" s="1"/>
  <c r="AK203" i="25"/>
  <c r="AI203" i="25"/>
  <c r="AE203" i="25"/>
  <c r="AF203" i="25" s="1"/>
  <c r="AH203" i="25" s="1"/>
  <c r="AG203" i="25"/>
  <c r="AE253" i="25"/>
  <c r="AE257" i="25"/>
  <c r="AF257" i="25" s="1"/>
  <c r="AH257" i="25" s="1"/>
  <c r="AE263" i="25"/>
  <c r="AE265" i="25"/>
  <c r="AE271" i="25"/>
  <c r="AE273" i="25"/>
  <c r="AE279" i="25"/>
  <c r="AE176" i="25"/>
  <c r="AF176" i="25" s="1"/>
  <c r="AH176" i="25" s="1"/>
  <c r="AE206" i="25"/>
  <c r="AF206" i="25" s="1"/>
  <c r="AH206" i="25" s="1"/>
  <c r="AE207" i="25"/>
  <c r="AF207" i="25" s="1"/>
  <c r="AH207" i="25" s="1"/>
  <c r="AE208" i="25"/>
  <c r="AF208" i="25" s="1"/>
  <c r="AH208" i="25" s="1"/>
  <c r="AE210" i="25"/>
  <c r="AF210" i="25" s="1"/>
  <c r="AH210" i="25" s="1"/>
  <c r="AE213" i="25"/>
  <c r="AF213" i="25" s="1"/>
  <c r="AH213" i="25" s="1"/>
  <c r="AE214" i="25"/>
  <c r="AF214" i="25" s="1"/>
  <c r="AH214" i="25" s="1"/>
  <c r="AE216" i="25"/>
  <c r="AF216" i="25" s="1"/>
  <c r="AH216" i="25" s="1"/>
  <c r="AE217" i="25"/>
  <c r="AF217" i="25" s="1"/>
  <c r="AH217" i="25" s="1"/>
  <c r="AE218" i="25"/>
  <c r="AE266" i="25"/>
  <c r="AE274" i="25"/>
  <c r="AK204" i="25" l="1"/>
  <c r="AG204" i="25"/>
  <c r="AE204" i="25"/>
  <c r="AF204" i="25" s="1"/>
  <c r="AH204" i="25" s="1"/>
  <c r="AI204" i="25"/>
</calcChain>
</file>

<file path=xl/comments1.xml><?xml version="1.0" encoding="utf-8"?>
<comments xmlns="http://schemas.openxmlformats.org/spreadsheetml/2006/main">
  <authors>
    <author>Mlekusch Jan</author>
  </authors>
  <commentList>
    <comment ref="I6" authorId="0" shapeId="0">
      <text>
        <r>
          <rPr>
            <b/>
            <sz val="9"/>
            <color indexed="81"/>
            <rFont val="Segoe UI"/>
            <charset val="1"/>
          </rPr>
          <t>Mlekusch Jan: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sz val="12"/>
            <color indexed="81"/>
            <rFont val="Segoe UI"/>
            <family val="2"/>
          </rPr>
          <t>Datum
Geldbetrag
Ja
Ja/Nein
Kommentar
LookupField
LookupKey
PDF-Datei
Text
Überschrift
Zahl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Mlekusch Jan: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Ja
Nein</t>
        </r>
      </text>
    </comment>
    <comment ref="M6" authorId="0" shapeId="0">
      <text>
        <r>
          <rPr>
            <b/>
            <sz val="9"/>
            <color indexed="81"/>
            <rFont val="Segoe UI"/>
            <family val="2"/>
          </rPr>
          <t>Mlekusch Jan: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Ja
Nein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Segoe UI"/>
            <charset val="1"/>
          </rPr>
          <t>Mlekusch Jan: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sz val="12"/>
            <color indexed="81"/>
            <rFont val="Segoe UI"/>
            <family val="2"/>
          </rPr>
          <t>lesen
ändern</t>
        </r>
      </text>
    </comment>
    <comment ref="O6" authorId="0" shapeId="0">
      <text>
        <r>
          <rPr>
            <b/>
            <sz val="9"/>
            <color indexed="81"/>
            <rFont val="Segoe UI"/>
            <family val="2"/>
          </rPr>
          <t>Mlekusch Jan: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Nummer vom AD von welchem aktuelles AD abhängig ist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P6" authorId="0" shapeId="0">
      <text>
        <r>
          <rPr>
            <b/>
            <sz val="9"/>
            <color indexed="81"/>
            <rFont val="Segoe UI"/>
            <family val="2"/>
          </rPr>
          <t>Mlekusch Jan: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enthält
enthält nicht
leer
nicht leer</t>
        </r>
      </text>
    </comment>
    <comment ref="Q6" authorId="0" shapeId="0">
      <text>
        <r>
          <rPr>
            <b/>
            <sz val="9"/>
            <color indexed="81"/>
            <rFont val="Segoe UI"/>
            <charset val="1"/>
          </rPr>
          <t>Mlekusch Jan: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sz val="12"/>
            <color indexed="81"/>
            <rFont val="Segoe UI"/>
            <family val="2"/>
          </rPr>
          <t>Ja
Nein</t>
        </r>
      </text>
    </comment>
    <comment ref="R6" authorId="0" shapeId="0">
      <text>
        <r>
          <rPr>
            <b/>
            <sz val="9"/>
            <color indexed="81"/>
            <rFont val="Segoe UI"/>
            <family val="2"/>
          </rPr>
          <t>Mlekusch Jan:</t>
        </r>
        <r>
          <rPr>
            <sz val="9"/>
            <color indexed="81"/>
            <rFont val="Segoe UI"/>
            <family val="2"/>
          </rPr>
          <t xml:space="preserve">
soll das AD einzeln geprüft werden können im NG?
</t>
        </r>
        <r>
          <rPr>
            <sz val="12"/>
            <color indexed="81"/>
            <rFont val="Segoe UI"/>
            <family val="2"/>
          </rPr>
          <t>Ja
Nein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<sst xmlns="http://schemas.openxmlformats.org/spreadsheetml/2006/main" count="185" uniqueCount="102">
  <si>
    <t>Anlass:</t>
  </si>
  <si>
    <t>IdBenutzer</t>
  </si>
  <si>
    <t>!  Hands off  !</t>
  </si>
  <si>
    <t>Copy</t>
  </si>
  <si>
    <t>Sortierung</t>
  </si>
  <si>
    <t>AD-Nr</t>
  </si>
  <si>
    <t>AD-Bezeichnung DE</t>
  </si>
  <si>
    <t>Tooltip DE</t>
  </si>
  <si>
    <t>Inhaltstyp</t>
  </si>
  <si>
    <t>Immer sichtbar (NG)</t>
  </si>
  <si>
    <t>Sicht Student</t>
  </si>
  <si>
    <t>AD</t>
  </si>
  <si>
    <t>operator</t>
  </si>
  <si>
    <t>Wert</t>
  </si>
  <si>
    <t>zu Prüfen (NG)</t>
  </si>
  <si>
    <t>Farbe</t>
  </si>
  <si>
    <t>Default</t>
  </si>
  <si>
    <t>AD-Range</t>
  </si>
  <si>
    <t>Typ</t>
  </si>
  <si>
    <t>Stil</t>
  </si>
  <si>
    <t>Art</t>
  </si>
  <si>
    <t>TypEx</t>
  </si>
  <si>
    <t>ObjTyp</t>
  </si>
  <si>
    <t>IdELKGroup</t>
  </si>
  <si>
    <t>SQL Ins</t>
  </si>
  <si>
    <t>SQL Insert…</t>
  </si>
  <si>
    <t>UPD Sort, Farbe, sichtbar, Default, ZuPrüfen</t>
  </si>
  <si>
    <t>Update Werteliste</t>
  </si>
  <si>
    <t>Insert Sichtbar wenn…</t>
  </si>
  <si>
    <t>Überschrift</t>
  </si>
  <si>
    <t>Ja</t>
  </si>
  <si>
    <t>lesen</t>
  </si>
  <si>
    <t>Nein</t>
  </si>
  <si>
    <t>Weiss-Grau</t>
  </si>
  <si>
    <t>LookupKey</t>
  </si>
  <si>
    <t>Schwarz-Hellgrau</t>
  </si>
  <si>
    <t>Arbeitsanweisung</t>
  </si>
  <si>
    <t>LookupField</t>
  </si>
  <si>
    <t>Schwarz-Hellgrün</t>
  </si>
  <si>
    <t>Ja/Nein</t>
  </si>
  <si>
    <t>Schwarz-Helltürkis</t>
  </si>
  <si>
    <t>enthält</t>
  </si>
  <si>
    <t>Kommentar</t>
  </si>
  <si>
    <t>Text</t>
  </si>
  <si>
    <t>Schwarz-Hellgelb</t>
  </si>
  <si>
    <t>Schwarz-Flieder</t>
  </si>
  <si>
    <t>Datum</t>
  </si>
  <si>
    <t>Personenfoto</t>
  </si>
  <si>
    <t>PDF-Datei</t>
  </si>
  <si>
    <t>enthält nicht</t>
  </si>
  <si>
    <t>Zahl</t>
  </si>
  <si>
    <t>nicht leer</t>
  </si>
  <si>
    <t>Geldbetrag</t>
  </si>
  <si>
    <t>000000</t>
  </si>
  <si>
    <t>VSSTyp</t>
  </si>
  <si>
    <t>VSSStil</t>
  </si>
  <si>
    <t>VSSArt</t>
  </si>
  <si>
    <t>VssTypEx</t>
  </si>
  <si>
    <t>Spezial</t>
  </si>
  <si>
    <t>Abrechnungslimite</t>
  </si>
  <si>
    <t/>
  </si>
  <si>
    <t>TX</t>
  </si>
  <si>
    <t>CB</t>
  </si>
  <si>
    <t>Info</t>
  </si>
  <si>
    <t>NULL</t>
  </si>
  <si>
    <t>DT</t>
  </si>
  <si>
    <t>WR</t>
  </si>
  <si>
    <t>J</t>
  </si>
  <si>
    <t>JN</t>
  </si>
  <si>
    <t>BE</t>
  </si>
  <si>
    <t>LB</t>
  </si>
  <si>
    <t>Memo-Text</t>
  </si>
  <si>
    <t>@Memofeld</t>
  </si>
  <si>
    <t>PD</t>
  </si>
  <si>
    <t>Datei</t>
  </si>
  <si>
    <t>PF</t>
  </si>
  <si>
    <t>HE</t>
  </si>
  <si>
    <t>VSSStyleSet</t>
  </si>
  <si>
    <t>AVOperator</t>
  </si>
  <si>
    <t>leer</t>
  </si>
  <si>
    <t>AVWerte</t>
  </si>
  <si>
    <t>Standard-ADs</t>
  </si>
  <si>
    <t>Kurzbezeichnung DE</t>
  </si>
  <si>
    <t>Kurzbezeichnung EN</t>
  </si>
  <si>
    <t>ONLA: Männer</t>
  </si>
  <si>
    <t>ONLA: Frauen</t>
  </si>
  <si>
    <t>ONLA: Ausländerbewilligung ausstehend</t>
  </si>
  <si>
    <t>ONLA: Ausländerbewilligung nicht ausstehend</t>
  </si>
  <si>
    <t>ONLA: Staatsangehörigkeit CH/FL</t>
  </si>
  <si>
    <t>ONLA: Staatsangehörigkeit nicht CH/FL</t>
  </si>
  <si>
    <t>ONLA: Staatsangehörigkeit nicht EU/EFTA</t>
  </si>
  <si>
    <t>Ansicht</t>
  </si>
  <si>
    <t>AVID</t>
  </si>
  <si>
    <t>Muss (NG)</t>
  </si>
  <si>
    <t>ONLA: Person nicht im CRM</t>
  </si>
  <si>
    <r>
      <rPr>
        <b/>
        <sz val="11"/>
        <rFont val="Calibri"/>
        <family val="2"/>
      </rPr>
      <t>Standard [ADs]</t>
    </r>
  </si>
  <si>
    <t>Update Language Fields</t>
  </si>
  <si>
    <t>Werteliste EN</t>
  </si>
  <si>
    <t>Werteliste DE</t>
  </si>
  <si>
    <t>IdAnlass Studiengang</t>
  </si>
  <si>
    <t>AD-Bezeichnung EN</t>
  </si>
  <si>
    <t>Tooltip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</si>
</sst>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Segoe UI"/>
      <family val="2"/>
    </font>
    <font>
      <b/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B050"/>
      <name val="Calibri"/>
      <family val="2"/>
    </font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2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82">
    <xf numFmtId="0" fontId="0" fillId="0" borderId="0" xfId="0"/>
    <xf numFmtId="0" fontId="7" fillId="0" borderId="0" xfId="0" applyFont="1"/>
    <xf numFmtId="0" fontId="0" fillId="0" borderId="1" xfId="0" applyBorder="1"/>
    <xf numFmtId="0" fontId="0" fillId="0" borderId="1" xfId="0" quotePrefix="1" applyBorder="1"/>
    <xf numFmtId="0" fontId="0" fillId="0" borderId="1" xfId="0" applyNumberFormat="1" applyBorder="1"/>
    <xf numFmtId="0" fontId="7" fillId="0" borderId="1" xfId="0" applyFont="1" applyBorder="1"/>
    <xf numFmtId="0" fontId="8" fillId="0" borderId="0" xfId="0" applyFont="1" applyAlignment="1">
      <alignment vertical="top"/>
    </xf>
    <xf numFmtId="0" fontId="8" fillId="0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9" fillId="10" borderId="0" xfId="0" applyFont="1" applyFill="1" applyAlignment="1">
      <alignment vertical="top"/>
    </xf>
    <xf numFmtId="0" fontId="8" fillId="0" borderId="0" xfId="0" applyFont="1" applyAlignment="1">
      <alignment vertical="top" wrapText="1"/>
    </xf>
    <xf numFmtId="0" fontId="8" fillId="5" borderId="0" xfId="0" applyFont="1" applyFill="1" applyAlignment="1">
      <alignment vertical="top"/>
    </xf>
    <xf numFmtId="0" fontId="8" fillId="5" borderId="0" xfId="0" applyFont="1" applyFill="1" applyAlignment="1">
      <alignment vertical="top" wrapText="1"/>
    </xf>
    <xf numFmtId="0" fontId="8" fillId="2" borderId="0" xfId="0" applyFont="1" applyFill="1"/>
    <xf numFmtId="0" fontId="11" fillId="5" borderId="0" xfId="0" applyFont="1" applyFill="1" applyAlignment="1">
      <alignment vertical="top"/>
    </xf>
    <xf numFmtId="0" fontId="12" fillId="6" borderId="0" xfId="0" applyFont="1" applyFill="1" applyAlignment="1">
      <alignment vertical="top"/>
    </xf>
    <xf numFmtId="0" fontId="9" fillId="5" borderId="0" xfId="0" applyFont="1" applyFill="1" applyAlignment="1">
      <alignment vertical="top" wrapText="1"/>
    </xf>
    <xf numFmtId="0" fontId="9" fillId="4" borderId="1" xfId="0" applyFont="1" applyFill="1" applyBorder="1"/>
    <xf numFmtId="0" fontId="9" fillId="8" borderId="1" xfId="0" applyFont="1" applyFill="1" applyBorder="1"/>
    <xf numFmtId="0" fontId="9" fillId="2" borderId="1" xfId="0" applyFont="1" applyFill="1" applyBorder="1" applyAlignment="1">
      <alignment vertical="top"/>
    </xf>
    <xf numFmtId="0" fontId="9" fillId="2" borderId="1" xfId="0" applyFont="1" applyFill="1" applyBorder="1" applyAlignment="1">
      <alignment vertical="top" wrapText="1"/>
    </xf>
    <xf numFmtId="0" fontId="9" fillId="3" borderId="1" xfId="0" applyFont="1" applyFill="1" applyBorder="1" applyAlignment="1">
      <alignment vertical="top"/>
    </xf>
    <xf numFmtId="0" fontId="9" fillId="10" borderId="1" xfId="0" applyFont="1" applyFill="1" applyBorder="1" applyAlignment="1">
      <alignment vertical="top"/>
    </xf>
    <xf numFmtId="0" fontId="0" fillId="0" borderId="1" xfId="0" applyFill="1" applyBorder="1"/>
    <xf numFmtId="49" fontId="8" fillId="0" borderId="1" xfId="0" applyNumberFormat="1" applyFont="1" applyFill="1" applyBorder="1" applyAlignment="1">
      <alignment vertical="top"/>
    </xf>
    <xf numFmtId="0" fontId="8" fillId="0" borderId="1" xfId="0" applyFont="1" applyFill="1" applyBorder="1" applyAlignment="1">
      <alignment horizontal="left" vertical="top" wrapText="1"/>
    </xf>
    <xf numFmtId="0" fontId="12" fillId="6" borderId="0" xfId="0" applyFont="1" applyFill="1" applyAlignment="1">
      <alignment vertical="top" wrapText="1"/>
    </xf>
    <xf numFmtId="0" fontId="9" fillId="3" borderId="1" xfId="0" applyFont="1" applyFill="1" applyBorder="1" applyAlignment="1">
      <alignment vertical="top" wrapText="1"/>
    </xf>
    <xf numFmtId="0" fontId="11" fillId="5" borderId="0" xfId="0" applyFont="1" applyFill="1" applyAlignment="1">
      <alignment vertical="top" wrapText="1"/>
    </xf>
    <xf numFmtId="0" fontId="10" fillId="0" borderId="1" xfId="0" applyFont="1" applyFill="1" applyBorder="1"/>
    <xf numFmtId="0" fontId="8" fillId="10" borderId="1" xfId="0" applyFont="1" applyFill="1" applyBorder="1" applyAlignment="1">
      <alignment vertical="top"/>
    </xf>
    <xf numFmtId="0" fontId="12" fillId="9" borderId="6" xfId="0" applyFont="1" applyFill="1" applyBorder="1" applyAlignment="1">
      <alignment horizontal="left" vertical="top" wrapText="1"/>
    </xf>
    <xf numFmtId="0" fontId="12" fillId="3" borderId="6" xfId="0" applyFont="1" applyFill="1" applyBorder="1" applyAlignment="1">
      <alignment vertical="top" wrapText="1"/>
    </xf>
    <xf numFmtId="0" fontId="13" fillId="0" borderId="0" xfId="0" applyFont="1" applyFill="1" applyAlignment="1">
      <alignment vertical="top"/>
    </xf>
    <xf numFmtId="0" fontId="13" fillId="2" borderId="0" xfId="0" applyFont="1" applyFill="1"/>
    <xf numFmtId="0" fontId="13" fillId="0" borderId="0" xfId="0" applyFont="1" applyFill="1"/>
    <xf numFmtId="0" fontId="0" fillId="0" borderId="1" xfId="0" applyFont="1" applyFill="1" applyBorder="1" applyAlignment="1">
      <alignment vertical="top"/>
    </xf>
    <xf numFmtId="0" fontId="0" fillId="0" borderId="1" xfId="0" quotePrefix="1" applyFont="1" applyFill="1" applyBorder="1" applyAlignment="1">
      <alignment vertical="top"/>
    </xf>
    <xf numFmtId="0" fontId="0" fillId="0" borderId="1" xfId="0" applyFont="1" applyFill="1" applyBorder="1"/>
    <xf numFmtId="0" fontId="9" fillId="5" borderId="0" xfId="0" applyFont="1" applyFill="1" applyAlignment="1">
      <alignment vertical="top"/>
    </xf>
    <xf numFmtId="0" fontId="0" fillId="0" borderId="1" xfId="0" applyFill="1" applyBorder="1" applyAlignment="1"/>
    <xf numFmtId="0" fontId="13" fillId="0" borderId="1" xfId="0" applyFont="1" applyFill="1" applyBorder="1" applyAlignment="1">
      <alignment horizontal="left" vertical="top" wrapText="1"/>
    </xf>
    <xf numFmtId="0" fontId="8" fillId="0" borderId="0" xfId="0" applyFont="1" applyFill="1"/>
    <xf numFmtId="0" fontId="8" fillId="0" borderId="0" xfId="0" applyFont="1"/>
    <xf numFmtId="0" fontId="11" fillId="0" borderId="0" xfId="0" applyFont="1" applyFill="1"/>
    <xf numFmtId="0" fontId="8" fillId="7" borderId="1" xfId="0" applyFont="1" applyFill="1" applyBorder="1"/>
    <xf numFmtId="0" fontId="9" fillId="8" borderId="2" xfId="0" applyFont="1" applyFill="1" applyBorder="1"/>
    <xf numFmtId="0" fontId="8" fillId="0" borderId="0" xfId="0" applyFont="1" applyFill="1" applyBorder="1" applyAlignment="1"/>
    <xf numFmtId="0" fontId="8" fillId="0" borderId="0" xfId="0" quotePrefix="1" applyFont="1" applyFill="1"/>
    <xf numFmtId="0" fontId="9" fillId="10" borderId="1" xfId="0" applyFont="1" applyFill="1" applyBorder="1" applyAlignment="1">
      <alignment vertical="top" wrapText="1"/>
    </xf>
    <xf numFmtId="0" fontId="14" fillId="0" borderId="1" xfId="0" applyFont="1" applyFill="1" applyBorder="1" applyAlignment="1">
      <alignment vertical="center" wrapText="1"/>
    </xf>
    <xf numFmtId="0" fontId="17" fillId="0" borderId="1" xfId="0" applyFont="1" applyFill="1" applyBorder="1" applyAlignment="1">
      <alignment wrapText="1"/>
    </xf>
    <xf numFmtId="0" fontId="19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wrapText="1"/>
    </xf>
    <xf numFmtId="0" fontId="8" fillId="0" borderId="1" xfId="0" applyFont="1" applyFill="1" applyBorder="1" applyAlignment="1"/>
    <xf numFmtId="0" fontId="8" fillId="0" borderId="1" xfId="0" quotePrefix="1" applyFont="1" applyFill="1" applyBorder="1" applyAlignment="1">
      <alignment vertical="top"/>
    </xf>
    <xf numFmtId="0" fontId="13" fillId="0" borderId="1" xfId="0" applyFont="1" applyFill="1" applyBorder="1" applyAlignment="1">
      <alignment wrapText="1"/>
    </xf>
    <xf numFmtId="0" fontId="8" fillId="0" borderId="0" xfId="0" applyFont="1" applyFill="1" applyAlignment="1">
      <alignment vertical="top" wrapText="1"/>
    </xf>
    <xf numFmtId="0" fontId="8" fillId="0" borderId="1" xfId="0" applyFont="1" applyFill="1" applyBorder="1"/>
    <xf numFmtId="0" fontId="13" fillId="0" borderId="1" xfId="0" applyFont="1" applyFill="1" applyBorder="1" applyAlignment="1">
      <alignment vertical="top"/>
    </xf>
    <xf numFmtId="0" fontId="13" fillId="0" borderId="1" xfId="0" applyFont="1" applyFill="1" applyBorder="1" applyAlignment="1">
      <alignment vertical="top" wrapText="1"/>
    </xf>
    <xf numFmtId="0" fontId="8" fillId="0" borderId="0" xfId="0" applyFont="1" applyFill="1" applyAlignment="1">
      <alignment vertical="top"/>
    </xf>
    <xf numFmtId="0" fontId="8" fillId="0" borderId="1" xfId="0" applyFont="1" applyFill="1" applyBorder="1" applyAlignment="1">
      <alignment vertical="top"/>
    </xf>
    <xf numFmtId="0" fontId="8" fillId="0" borderId="0" xfId="0" applyFont="1" applyFill="1"/>
    <xf numFmtId="0" fontId="8" fillId="0" borderId="1" xfId="0" applyFont="1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 wrapText="1"/>
    </xf>
    <xf numFmtId="0" fontId="13" fillId="0" borderId="7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wrapText="1"/>
    </xf>
    <xf numFmtId="0" fontId="8" fillId="0" borderId="0" xfId="0" applyFont="1" applyAlignment="1">
      <alignment horizontal="center" vertical="top"/>
    </xf>
    <xf numFmtId="0" fontId="9" fillId="4" borderId="3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</cellXfs>
  <cellStyles count="43">
    <cellStyle name="Standard" xfId="0" builtinId="0"/>
    <cellStyle name="Standard 2" xfId="1"/>
    <cellStyle name="Standard 2 2" xfId="4"/>
    <cellStyle name="Standard 2 2 2" xfId="8"/>
    <cellStyle name="Standard 2 2 2 2" xfId="18"/>
    <cellStyle name="Standard 2 2 2 2 2" xfId="38"/>
    <cellStyle name="Standard 2 2 2 3" xfId="28"/>
    <cellStyle name="Standard 2 2 3" xfId="15"/>
    <cellStyle name="Standard 2 2 3 2" xfId="35"/>
    <cellStyle name="Standard 2 2 4" xfId="25"/>
    <cellStyle name="Standard 2 3" xfId="7"/>
    <cellStyle name="Standard 2 3 2" xfId="17"/>
    <cellStyle name="Standard 2 3 2 2" xfId="37"/>
    <cellStyle name="Standard 2 3 3" xfId="27"/>
    <cellStyle name="Standard 2 4" xfId="12"/>
    <cellStyle name="Standard 2 4 2" xfId="32"/>
    <cellStyle name="Standard 2 5" xfId="22"/>
    <cellStyle name="Standard 3" xfId="2"/>
    <cellStyle name="Standard 3 2" xfId="5"/>
    <cellStyle name="Standard 3 2 2" xfId="10"/>
    <cellStyle name="Standard 3 2 2 2" xfId="20"/>
    <cellStyle name="Standard 3 2 2 2 2" xfId="40"/>
    <cellStyle name="Standard 3 2 2 3" xfId="30"/>
    <cellStyle name="Standard 3 2 3" xfId="16"/>
    <cellStyle name="Standard 3 2 3 2" xfId="36"/>
    <cellStyle name="Standard 3 2 4" xfId="26"/>
    <cellStyle name="Standard 3 3" xfId="9"/>
    <cellStyle name="Standard 3 3 2" xfId="19"/>
    <cellStyle name="Standard 3 3 2 2" xfId="39"/>
    <cellStyle name="Standard 3 3 3" xfId="29"/>
    <cellStyle name="Standard 3 4" xfId="13"/>
    <cellStyle name="Standard 3 4 2" xfId="33"/>
    <cellStyle name="Standard 3 5" xfId="23"/>
    <cellStyle name="Standard 4" xfId="3"/>
    <cellStyle name="Standard 4 2" xfId="11"/>
    <cellStyle name="Standard 4 2 2" xfId="21"/>
    <cellStyle name="Standard 4 2 2 2" xfId="41"/>
    <cellStyle name="Standard 4 2 3" xfId="31"/>
    <cellStyle name="Standard 4 3" xfId="14"/>
    <cellStyle name="Standard 4 3 2" xfId="34"/>
    <cellStyle name="Standard 4 4" xfId="24"/>
    <cellStyle name="Standard 5" xfId="6"/>
    <cellStyle name="Standard 6" xfId="42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FFFFCC"/>
      <color rgb="FFE5E5FF"/>
      <color rgb="FFC1FFEA"/>
      <color rgb="FFCCFFCC"/>
      <color rgb="FFCC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190500</xdr:colOff>
          <xdr:row>0</xdr:row>
          <xdr:rowOff>104775</xdr:rowOff>
        </xdr:from>
        <xdr:to>
          <xdr:col>32</xdr:col>
          <xdr:colOff>152400</xdr:colOff>
          <xdr:row>2</xdr:row>
          <xdr:rowOff>85725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rua\AppData\Local\Microsoft\Windows\Temporary%20Internet%20Files\Content.Outlook\4MRMBZ7U\Auflistung%20ADs%20BA%20Kommunik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.zhaw.ch/projekte/2974/Shared%20Documents/AD-Listen%20Departemente/Dept_Listen_ab%2020.06.2017/Dept%20P_AD-Importliste_BA__23.06.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ndardformular"/>
      <sheetName val="SQL"/>
      <sheetName val="AnmeldeVSS-Attribute"/>
    </sheetNames>
    <sheetDataSet>
      <sheetData sheetId="0" refreshError="1"/>
      <sheetData sheetId="1" refreshError="1"/>
      <sheetData sheetId="2">
        <row r="2">
          <cell r="A2" t="str">
            <v>Abrechnungslimite</v>
          </cell>
        </row>
        <row r="20">
          <cell r="A20" t="str">
            <v>Schwarz-Hellgrau</v>
          </cell>
        </row>
        <row r="21">
          <cell r="A21" t="str">
            <v>Weiss-Grau</v>
          </cell>
        </row>
        <row r="22">
          <cell r="A22" t="str">
            <v>Schwarz-Hellgelb</v>
          </cell>
        </row>
        <row r="23">
          <cell r="A23" t="str">
            <v>Schwarz-Flieder</v>
          </cell>
        </row>
        <row r="24">
          <cell r="A24" t="str">
            <v>Schwarz-Hellgrün</v>
          </cell>
        </row>
        <row r="25">
          <cell r="A25" t="str">
            <v>Schwarz-Helltürkis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 P_BA_23.06.2017"/>
      <sheetName val="Dept P_BA_23.06.2017 sort"/>
      <sheetName val="NrDept"/>
      <sheetName val="BFS-FC_ADs"/>
      <sheetName val="AnmeldeVSS-Attribute"/>
    </sheetNames>
    <sheetDataSet>
      <sheetData sheetId="0"/>
      <sheetData sheetId="1"/>
      <sheetData sheetId="2"/>
      <sheetData sheetId="3"/>
      <sheetData sheetId="4">
        <row r="2">
          <cell r="A2" t="str">
            <v>Abrechnungslimite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Arbeitsanweisung</v>
          </cell>
          <cell r="B3" t="str">
            <v>TX</v>
          </cell>
          <cell r="C3" t="str">
            <v>CB</v>
          </cell>
          <cell r="D3" t="str">
            <v>Info</v>
          </cell>
          <cell r="E3">
            <v>290</v>
          </cell>
          <cell r="F3">
            <v>324</v>
          </cell>
          <cell r="G3" t="str">
            <v>NULL</v>
          </cell>
          <cell r="H3">
            <v>0</v>
          </cell>
        </row>
        <row r="4">
          <cell r="A4" t="str">
            <v>Datum</v>
          </cell>
          <cell r="B4" t="str">
            <v>DT</v>
          </cell>
          <cell r="C4" t="str">
            <v>TX</v>
          </cell>
          <cell r="D4" t="str">
            <v>Info</v>
          </cell>
          <cell r="E4">
            <v>295</v>
          </cell>
          <cell r="F4" t="str">
            <v>NULL</v>
          </cell>
          <cell r="G4" t="str">
            <v>NULL</v>
          </cell>
          <cell r="H4">
            <v>0</v>
          </cell>
        </row>
        <row r="5">
          <cell r="A5" t="str">
            <v>Geldbetrag</v>
          </cell>
          <cell r="B5" t="str">
            <v>WR</v>
          </cell>
          <cell r="C5" t="str">
            <v>TX</v>
          </cell>
          <cell r="D5" t="str">
            <v>Info</v>
          </cell>
          <cell r="E5">
            <v>279</v>
          </cell>
          <cell r="F5" t="str">
            <v>NULL</v>
          </cell>
          <cell r="G5" t="str">
            <v>NULL</v>
          </cell>
          <cell r="H5">
            <v>0</v>
          </cell>
        </row>
        <row r="6">
          <cell r="A6" t="str">
            <v>Ja</v>
          </cell>
          <cell r="B6" t="str">
            <v>J</v>
          </cell>
          <cell r="C6" t="str">
            <v>TX</v>
          </cell>
          <cell r="D6" t="str">
            <v>Info</v>
          </cell>
          <cell r="E6">
            <v>292</v>
          </cell>
          <cell r="F6" t="str">
            <v>NULL</v>
          </cell>
          <cell r="G6" t="str">
            <v>NULL</v>
          </cell>
          <cell r="H6">
            <v>0</v>
          </cell>
        </row>
        <row r="7">
          <cell r="A7" t="str">
            <v>Ja/Nein</v>
          </cell>
          <cell r="B7" t="str">
            <v>JN</v>
          </cell>
          <cell r="C7" t="str">
            <v>TX</v>
          </cell>
          <cell r="D7" t="str">
            <v>Info</v>
          </cell>
          <cell r="E7">
            <v>291</v>
          </cell>
          <cell r="F7" t="str">
            <v>NULL</v>
          </cell>
          <cell r="G7" t="str">
            <v>NULL</v>
          </cell>
          <cell r="H7">
            <v>0</v>
          </cell>
        </row>
        <row r="8">
          <cell r="A8" t="str">
            <v>Kommentar</v>
          </cell>
          <cell r="B8">
            <v>0</v>
          </cell>
          <cell r="C8" t="str">
            <v>BE</v>
          </cell>
          <cell r="D8">
            <v>0</v>
          </cell>
          <cell r="E8">
            <v>290</v>
          </cell>
          <cell r="F8" t="str">
            <v>NULL</v>
          </cell>
          <cell r="G8" t="str">
            <v>NULL</v>
          </cell>
          <cell r="H8">
            <v>0</v>
          </cell>
        </row>
        <row r="9">
          <cell r="A9" t="str">
            <v>LookupField</v>
          </cell>
          <cell r="B9" t="str">
            <v>TX</v>
          </cell>
          <cell r="C9" t="str">
            <v>CB</v>
          </cell>
          <cell r="D9" t="str">
            <v>Info</v>
          </cell>
          <cell r="E9">
            <v>290</v>
          </cell>
          <cell r="F9" t="str">
            <v>NULL</v>
          </cell>
          <cell r="G9" t="str">
            <v>NULL</v>
          </cell>
          <cell r="H9">
            <v>0</v>
          </cell>
        </row>
        <row r="10">
          <cell r="A10" t="str">
            <v>LookupKey</v>
          </cell>
          <cell r="B10" t="str">
            <v>TX</v>
          </cell>
          <cell r="C10" t="str">
            <v>LB</v>
          </cell>
          <cell r="D10" t="str">
            <v>Info</v>
          </cell>
          <cell r="E10">
            <v>293</v>
          </cell>
          <cell r="F10">
            <v>323</v>
          </cell>
          <cell r="G10">
            <v>74</v>
          </cell>
          <cell r="H10">
            <v>0</v>
          </cell>
        </row>
        <row r="11">
          <cell r="A11" t="str">
            <v>Memo-Text</v>
          </cell>
          <cell r="B11" t="str">
            <v>TX</v>
          </cell>
          <cell r="C11" t="str">
            <v>TX</v>
          </cell>
          <cell r="D11" t="str">
            <v>Info</v>
          </cell>
          <cell r="E11">
            <v>293</v>
          </cell>
          <cell r="F11" t="str">
            <v>NULL</v>
          </cell>
          <cell r="G11" t="str">
            <v>NULL</v>
          </cell>
          <cell r="H11" t="str">
            <v>@Memofeld</v>
          </cell>
        </row>
        <row r="12">
          <cell r="A12" t="str">
            <v>PDF-Datei</v>
          </cell>
          <cell r="B12">
            <v>0</v>
          </cell>
          <cell r="C12" t="str">
            <v>PD</v>
          </cell>
          <cell r="D12" t="str">
            <v>Datei</v>
          </cell>
          <cell r="E12">
            <v>290</v>
          </cell>
          <cell r="F12" t="str">
            <v>NULL</v>
          </cell>
          <cell r="G12" t="str">
            <v>NULL</v>
          </cell>
          <cell r="H12">
            <v>0</v>
          </cell>
        </row>
        <row r="13">
          <cell r="A13" t="str">
            <v>Personenfoto</v>
          </cell>
          <cell r="B13">
            <v>0</v>
          </cell>
          <cell r="C13" t="str">
            <v>PF</v>
          </cell>
          <cell r="D13" t="str">
            <v>Datei</v>
          </cell>
          <cell r="E13">
            <v>290</v>
          </cell>
          <cell r="F13" t="str">
            <v>NULL</v>
          </cell>
          <cell r="G13" t="str">
            <v>NULL</v>
          </cell>
          <cell r="H13">
            <v>0</v>
          </cell>
        </row>
        <row r="14">
          <cell r="A14" t="str">
            <v>Text</v>
          </cell>
          <cell r="B14" t="str">
            <v>TX</v>
          </cell>
          <cell r="C14" t="str">
            <v>TX</v>
          </cell>
          <cell r="D14" t="str">
            <v>Info</v>
          </cell>
          <cell r="E14">
            <v>290</v>
          </cell>
          <cell r="F14" t="str">
            <v>NULL</v>
          </cell>
          <cell r="G14" t="str">
            <v>NULL</v>
          </cell>
          <cell r="H14">
            <v>0</v>
          </cell>
        </row>
        <row r="15">
          <cell r="A15" t="str">
            <v>Überschrift</v>
          </cell>
          <cell r="B15">
            <v>0</v>
          </cell>
          <cell r="C15" t="str">
            <v>HE</v>
          </cell>
          <cell r="D15">
            <v>0</v>
          </cell>
          <cell r="E15">
            <v>290</v>
          </cell>
          <cell r="F15" t="str">
            <v>NULL</v>
          </cell>
          <cell r="G15" t="str">
            <v>NULL</v>
          </cell>
          <cell r="H15">
            <v>0</v>
          </cell>
        </row>
        <row r="16">
          <cell r="A16" t="str">
            <v>Zahl</v>
          </cell>
          <cell r="B16" t="str">
            <v>TX</v>
          </cell>
          <cell r="C16" t="str">
            <v>TX</v>
          </cell>
          <cell r="D16" t="str">
            <v>Info</v>
          </cell>
          <cell r="E16">
            <v>277</v>
          </cell>
          <cell r="F16" t="str">
            <v>NULL</v>
          </cell>
          <cell r="G16" t="str">
            <v>NULL</v>
          </cell>
          <cell r="H1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WTN336"/>
  <sheetViews>
    <sheetView tabSelected="1" zoomScale="80" zoomScaleNormal="80" workbookViewId="0">
      <pane ySplit="5" topLeftCell="A6" activePane="bottomLeft" state="frozen"/>
      <selection activeCell="C1" sqref="C1"/>
      <selection pane="bottomLeft" activeCell="N14" sqref="N14"/>
    </sheetView>
  </sheetViews>
  <sheetFormatPr baseColWidth="10" defaultColWidth="0" defaultRowHeight="15" x14ac:dyDescent="0.25"/>
  <cols>
    <col min="1" max="1" width="11.42578125" style="6" bestFit="1" customWidth="1"/>
    <col min="2" max="2" width="13.7109375" style="6" bestFit="1" customWidth="1"/>
    <col min="3" max="3" width="40.7109375" style="10" customWidth="1"/>
    <col min="4" max="4" width="37.5703125" style="10" customWidth="1"/>
    <col min="5" max="5" width="29.42578125" style="6" customWidth="1"/>
    <col min="6" max="6" width="12.140625" style="10" customWidth="1"/>
    <col min="7" max="7" width="18.140625" style="10" customWidth="1"/>
    <col min="8" max="8" width="22.140625" style="10" customWidth="1"/>
    <col min="9" max="9" width="23.5703125" style="10" customWidth="1"/>
    <col min="10" max="11" width="24.42578125" style="10" customWidth="1"/>
    <col min="12" max="12" width="10.85546875" style="10" customWidth="1"/>
    <col min="13" max="13" width="8.42578125" style="6" customWidth="1"/>
    <col min="14" max="14" width="13.42578125" style="6" customWidth="1"/>
    <col min="15" max="15" width="10.5703125" style="6" customWidth="1"/>
    <col min="16" max="16" width="19.42578125" style="6" customWidth="1"/>
    <col min="17" max="17" width="21.42578125" style="10" customWidth="1"/>
    <col min="18" max="18" width="14.42578125" style="6" customWidth="1"/>
    <col min="19" max="19" width="16.5703125" style="6" customWidth="1"/>
    <col min="20" max="20" width="10.42578125" style="7" customWidth="1"/>
    <col min="21" max="21" width="12.5703125" style="6" customWidth="1"/>
    <col min="22" max="22" width="0.5703125" style="13" customWidth="1"/>
    <col min="23" max="23" width="6.5703125" style="42" customWidth="1"/>
    <col min="24" max="25" width="6.42578125" style="42" customWidth="1"/>
    <col min="26" max="26" width="8.5703125" style="42" customWidth="1"/>
    <col min="27" max="27" width="9.5703125" style="42" customWidth="1"/>
    <col min="28" max="28" width="13.5703125" style="42" customWidth="1"/>
    <col min="29" max="29" width="11.5703125" style="42" customWidth="1"/>
    <col min="30" max="30" width="8.42578125" style="42" customWidth="1"/>
    <col min="31" max="31" width="84" style="42" customWidth="1"/>
    <col min="32" max="32" width="50.5703125" style="42" customWidth="1"/>
    <col min="33" max="33" width="72.5703125" style="42" customWidth="1"/>
    <col min="34" max="35" width="28.42578125" style="43" customWidth="1"/>
    <col min="36" max="36" width="26.5703125" style="42" customWidth="1"/>
    <col min="37" max="37" width="137.140625" style="42" customWidth="1"/>
    <col min="38" max="38" width="11" style="42" hidden="1" customWidth="1"/>
    <col min="39" max="16075" width="11" style="42" hidden="1"/>
    <col min="16076" max="16077" width="2.42578125" style="42" hidden="1"/>
    <col min="16078" max="16082" width="1.42578125" style="42" hidden="1"/>
    <col min="16083" max="16384" width="3" style="42" hidden="1"/>
  </cols>
  <sheetData>
    <row r="1" spans="1:37" ht="15.75" thickBot="1" x14ac:dyDescent="0.3">
      <c r="A1" s="11"/>
      <c r="B1" s="11"/>
      <c r="C1" s="12"/>
      <c r="D1" s="12"/>
      <c r="E1" s="11"/>
      <c r="F1" s="12"/>
      <c r="G1" s="12"/>
      <c r="H1" s="12"/>
      <c r="I1" s="12"/>
      <c r="J1" s="12"/>
      <c r="K1" s="12"/>
      <c r="L1" s="12"/>
      <c r="M1" s="11"/>
      <c r="N1" s="11"/>
      <c r="O1" s="11"/>
      <c r="P1" s="11"/>
      <c r="Q1" s="12"/>
      <c r="R1" s="11"/>
      <c r="S1" s="11"/>
      <c r="T1" s="11"/>
      <c r="U1" s="11"/>
    </row>
    <row r="2" spans="1:37" s="44" customFormat="1" ht="16.5" thickBot="1" x14ac:dyDescent="0.3">
      <c r="A2" s="14"/>
      <c r="B2" s="14" t="s">
        <v>0</v>
      </c>
      <c r="C2" s="32"/>
      <c r="D2" s="39"/>
      <c r="E2" s="39"/>
      <c r="F2" s="16"/>
      <c r="G2" s="16"/>
      <c r="H2" s="16"/>
      <c r="I2" s="28" t="s">
        <v>99</v>
      </c>
      <c r="J2" s="31"/>
      <c r="K2" s="14"/>
      <c r="L2" s="14"/>
      <c r="M2" s="14"/>
      <c r="N2" s="14" t="s">
        <v>1</v>
      </c>
      <c r="O2" s="14"/>
      <c r="P2" s="14"/>
      <c r="Q2" s="26"/>
      <c r="R2" s="15"/>
      <c r="S2" s="14"/>
      <c r="T2" s="14"/>
      <c r="U2" s="14"/>
      <c r="V2" s="13"/>
    </row>
    <row r="3" spans="1:37" x14ac:dyDescent="0.25">
      <c r="A3" s="11"/>
      <c r="B3" s="11"/>
      <c r="C3" s="16"/>
      <c r="D3" s="16"/>
      <c r="E3" s="39"/>
      <c r="F3" s="16"/>
      <c r="G3" s="16"/>
      <c r="H3" s="16"/>
      <c r="I3" s="12"/>
      <c r="J3" s="16"/>
      <c r="K3" s="16"/>
      <c r="L3" s="16"/>
      <c r="M3" s="11"/>
      <c r="N3" s="11"/>
      <c r="O3" s="11"/>
      <c r="P3" s="11"/>
      <c r="Q3" s="12"/>
      <c r="R3" s="11"/>
      <c r="S3" s="11"/>
      <c r="T3" s="11"/>
      <c r="U3" s="11"/>
    </row>
    <row r="4" spans="1:37" x14ac:dyDescent="0.25">
      <c r="B4" s="6">
        <v>1</v>
      </c>
      <c r="C4" s="10">
        <v>2</v>
      </c>
      <c r="D4" s="10">
        <v>3</v>
      </c>
      <c r="E4" s="6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6">
        <v>12</v>
      </c>
      <c r="N4" s="6">
        <v>13</v>
      </c>
      <c r="O4" s="78">
        <v>14</v>
      </c>
      <c r="P4" s="78"/>
      <c r="Q4" s="78"/>
      <c r="R4" s="6">
        <v>17</v>
      </c>
      <c r="S4" s="6">
        <v>18</v>
      </c>
      <c r="T4" s="6"/>
      <c r="W4" s="79" t="s">
        <v>2</v>
      </c>
      <c r="X4" s="80"/>
      <c r="Y4" s="80"/>
      <c r="Z4" s="80"/>
      <c r="AA4" s="80"/>
      <c r="AB4" s="80"/>
      <c r="AC4" s="80"/>
      <c r="AD4" s="80"/>
      <c r="AE4" s="81"/>
      <c r="AF4" s="45" t="s">
        <v>3</v>
      </c>
      <c r="AG4" s="45" t="s">
        <v>3</v>
      </c>
      <c r="AH4" s="45" t="s">
        <v>3</v>
      </c>
      <c r="AI4" s="45"/>
      <c r="AJ4" s="45" t="s">
        <v>3</v>
      </c>
    </row>
    <row r="5" spans="1:37" ht="30" x14ac:dyDescent="0.25">
      <c r="A5" s="19" t="s">
        <v>4</v>
      </c>
      <c r="B5" s="19" t="s">
        <v>5</v>
      </c>
      <c r="C5" s="20" t="s">
        <v>6</v>
      </c>
      <c r="D5" s="20" t="s">
        <v>100</v>
      </c>
      <c r="E5" s="19" t="s">
        <v>82</v>
      </c>
      <c r="F5" s="20" t="s">
        <v>83</v>
      </c>
      <c r="G5" s="20" t="s">
        <v>7</v>
      </c>
      <c r="H5" s="20" t="s">
        <v>101</v>
      </c>
      <c r="I5" s="20" t="s">
        <v>8</v>
      </c>
      <c r="J5" s="20" t="s">
        <v>98</v>
      </c>
      <c r="K5" s="20" t="s">
        <v>97</v>
      </c>
      <c r="L5" s="20" t="s">
        <v>93</v>
      </c>
      <c r="M5" s="19" t="s">
        <v>9</v>
      </c>
      <c r="N5" s="21" t="s">
        <v>10</v>
      </c>
      <c r="O5" s="21" t="s">
        <v>11</v>
      </c>
      <c r="P5" s="21" t="s">
        <v>12</v>
      </c>
      <c r="Q5" s="27" t="s">
        <v>13</v>
      </c>
      <c r="R5" s="19" t="s">
        <v>14</v>
      </c>
      <c r="S5" s="19" t="s">
        <v>15</v>
      </c>
      <c r="T5" s="8" t="s">
        <v>16</v>
      </c>
      <c r="U5" s="8" t="s">
        <v>17</v>
      </c>
      <c r="W5" s="17" t="s">
        <v>18</v>
      </c>
      <c r="X5" s="17" t="s">
        <v>19</v>
      </c>
      <c r="Y5" s="17" t="s">
        <v>20</v>
      </c>
      <c r="Z5" s="17" t="s">
        <v>21</v>
      </c>
      <c r="AA5" s="17" t="s">
        <v>22</v>
      </c>
      <c r="AB5" s="17" t="s">
        <v>23</v>
      </c>
      <c r="AC5" s="17" t="s">
        <v>16</v>
      </c>
      <c r="AD5" s="17" t="s">
        <v>15</v>
      </c>
      <c r="AE5" s="17" t="s">
        <v>24</v>
      </c>
      <c r="AF5" s="18" t="s">
        <v>25</v>
      </c>
      <c r="AG5" s="18" t="s">
        <v>26</v>
      </c>
      <c r="AH5" s="18" t="s">
        <v>27</v>
      </c>
      <c r="AI5" s="46" t="s">
        <v>96</v>
      </c>
      <c r="AJ5" s="46" t="s">
        <v>28</v>
      </c>
    </row>
    <row r="6" spans="1:37" x14ac:dyDescent="0.25">
      <c r="A6" s="49" t="s">
        <v>53</v>
      </c>
      <c r="B6" s="49">
        <v>101100</v>
      </c>
      <c r="C6" s="49" t="s">
        <v>81</v>
      </c>
      <c r="D6" s="49" t="s">
        <v>95</v>
      </c>
      <c r="E6" s="30"/>
      <c r="F6" s="22"/>
      <c r="G6" s="49"/>
      <c r="H6" s="49"/>
      <c r="I6" s="49" t="s">
        <v>29</v>
      </c>
      <c r="J6" s="22"/>
      <c r="K6" s="22"/>
      <c r="L6" s="22" t="s">
        <v>32</v>
      </c>
      <c r="M6" s="22" t="s">
        <v>30</v>
      </c>
      <c r="N6" s="22" t="s">
        <v>31</v>
      </c>
      <c r="O6" s="22"/>
      <c r="P6" s="22"/>
      <c r="Q6" s="49"/>
      <c r="R6" s="22" t="s">
        <v>32</v>
      </c>
      <c r="S6" s="22" t="s">
        <v>33</v>
      </c>
      <c r="T6" s="9"/>
      <c r="U6" s="9"/>
      <c r="V6" s="42"/>
      <c r="W6" s="42" t="str">
        <f>VLOOKUP($I6,'AnmeldeVSS-Attribute'!$A$2:$H$16,2,FALSE)</f>
        <v/>
      </c>
      <c r="X6" s="42" t="str">
        <f>VLOOKUP($I6,'AnmeldeVSS-Attribute'!$A$2:$H$16,3,FALSE)</f>
        <v>HE</v>
      </c>
      <c r="Y6" s="42" t="str">
        <f>VLOOKUP($I6,'AnmeldeVSS-Attribute'!$A$2:$H$16,4,FALSE)</f>
        <v/>
      </c>
      <c r="Z6" s="42">
        <f>VLOOKUP($I6,'AnmeldeVSS-Attribute'!$A$2:$H$16,5,FALSE)</f>
        <v>290</v>
      </c>
      <c r="AA6" s="42" t="str">
        <f>VLOOKUP($I6,'AnmeldeVSS-Attribute'!$A$2:$H$16,6,FALSE)</f>
        <v>NULL</v>
      </c>
      <c r="AB6" s="42" t="str">
        <f>VLOOKUP($I6,'AnmeldeVSS-Attribute'!$A$2:$H$16,7,FALSE)</f>
        <v>NULL</v>
      </c>
      <c r="AC6" s="42" t="str">
        <f>IF(I6="Geldbetrag",J6,(IF(T6="",VLOOKUP($I6,'AnmeldeVSS-Attribute'!$A$2:$H$16,8,FALSE),T6)))</f>
        <v/>
      </c>
      <c r="AD6" s="42">
        <f>IF(S6="",0,VLOOKUP(S6,'AnmeldeVSS-Attribute'!$A$20:$B$26,2,FALSE))</f>
        <v>7</v>
      </c>
      <c r="AE6" s="42" t="str">
        <f t="shared" ref="AE6:AE69" si="0">"IF NOT EXISTS(SELECT * FROM tblAnmeldeVSS WHERE IdAnlass = "&amp;IDAnlass&amp;" AND IdAnmeldeVSS = "&amp;B6&amp;")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"&amp;B6&amp;", 0, '"&amp;C6&amp;"', '"&amp;LEFT(E6,20)&amp;"', '"&amp;W6&amp;"', '"&amp;X6&amp;"', '"&amp;Y6&amp;"', "&amp;IF(M6="Ja","1","0")&amp;", "&amp;IF(N6="lesen","'R'",IF(N6="ändern","'E'","'H'"))&amp;", 
 '"&amp;A6&amp;"', "&amp;Z6&amp;", "&amp;AA6&amp;", "&amp;AB6&amp;", GetDate(), '"&amp;IDBenutzer&amp;"', GetDate(), '"&amp;IDBenutzer&amp;"',
0, "
&amp;IF(I6="LookupKey","'SELECT ELVValue, IDELK
FROM   qryEvt_Bus_EventoLookupKey_All
WHERE  IDELKGroup = "&amp;AB6&amp;"
AND    ELVLangCode = @KontextIdLanguage
AND    SUBSTRING(ELKAdminModus, 2, 1) &lt;&gt; ''H''
ORDER BY ELVSort'",(IF(I6="Arbeitsanweisung","'SELECT LookupfieldsValue FROM   tblLookupfields WHERE  LookupfieldsTyp = ''Arbeitsanweisung'' ORDER BY LookupFieldsSort'","Null")))&amp;", "
&amp;IF(AC6&lt;&gt;"","'"&amp;AC6&amp;"'","NULL")&amp;", '"&amp;G6&amp;"' ,"&amp;IF(I6="Arbeitsanweisung","'Arbeitsanweisung'","NULL")&amp;")"</f>
        <v>IF NOT EXISTS(SELECT * FROM tblAnmeldeVSS WHERE IdAnlass =  AND IdAnmeldeVSS = 101100) INSERT INTO [tblAnmeldeVSS]( [IDAnlass], [IDAnmeldeVSS], [AnmeldeVSSAnmeldung], [AnmeldeVSSBezeichnung], [AnmeldeVSSBeschriftung],[AnmeldeVSSTyp], [AnmeldeVSSStil], [AnmeldeVSSArt], [AnmeldeVSSImmerSichtbar], [AnmeldeVSSInternet], [AnmeldeVSSSort], [AnmeldeVssTypEx], [AnmeldeVssObjektTyp], [AnmeldeVssOTIdELKGroup], [Erfassung], [ErfassungVon], [Aenderung], [AenderungVon], [AnmeldeVSSStyleSet], [AnmeldeVSSRowSource], [AnmeldeVSSDefaultWert], [AnmeldeVSSTooltip],[AnmeldeVSSOTLookupFieldsTyp]) VALUES(, 101100, 0, 'Standard-ADs', '', '', 'HE', '', 1, 'R', 
 '000000', 290, NULL, NULL, GetDate(), '', GetDate(), '',
0, Null, NULL, '' ,NULL)</v>
      </c>
      <c r="AF6" s="42" t="str">
        <f t="shared" ref="AF6:AF70" si="1">IF(B6&lt;100000,"",AE6)</f>
        <v>IF NOT EXISTS(SELECT * FROM tblAnmeldeVSS WHERE IdAnlass =  AND IdAnmeldeVSS = 101100) INSERT INTO [tblAnmeldeVSS]( [IDAnlass], [IDAnmeldeVSS], [AnmeldeVSSAnmeldung], [AnmeldeVSSBezeichnung], [AnmeldeVSSBeschriftung],[AnmeldeVSSTyp], [AnmeldeVSSStil], [AnmeldeVSSArt], [AnmeldeVSSImmerSichtbar], [AnmeldeVSSInternet], [AnmeldeVSSSort], [AnmeldeVssTypEx], [AnmeldeVssObjektTyp], [AnmeldeVssOTIdELKGroup], [Erfassung], [ErfassungVon], [Aenderung], [AenderungVon], [AnmeldeVSSStyleSet], [AnmeldeVSSRowSource], [AnmeldeVSSDefaultWert], [AnmeldeVSSTooltip],[AnmeldeVSSOTLookupFieldsTyp]) VALUES(, 101100, 0, 'Standard-ADs', '', '', 'HE', '', 1, 'R', 
 '000000', 290, NULL, NULL, GetDate(), '', GetDate(), '',
0, Null, NULL, '' ,NULL)</v>
      </c>
      <c r="AG6" s="42" t="str">
        <f t="shared" ref="AG6:AG69" si="2">IF($A6="","","Update tblAnmeldeVSS Set AnmeldeVSSSort ='"&amp; A6 &amp;"', AnmeldeVSSZuPruefen ="&amp; IF(R6="Ja",1,0) &amp;", AnmeldeVSSStyleSet ="&amp; AD6 &amp;", AnmeldeVSSInternet= "&amp;IF(N6="lesen","'R'",IF(N6="ändern","'E'",IF(N6="muss","'M'","'H'")))&amp;", AnmeldeVSSImmerSichtbar = " &amp; IF(M6="Ja",1,0) &amp; ", AnmeldeVSSDefaultWert=" &amp; IF(AC6&lt;&gt;"","'"&amp;AC6&amp;"'","NULL") &amp; ", AnmeldeVSSMuss="&amp; IF(L6="Ja",1,0) &amp;" Where IdAnlass=" &amp; IDAnlass &amp; " AND IdAnmeldeVSS = " &amp; B6)</f>
        <v>Update tblAnmeldeVSS Set AnmeldeVSSSort ='000000', AnmeldeVSSZuPruefen =0, AnmeldeVSSStyleSet =7, AnmeldeVSSInternet= 'R', AnmeldeVSSImmerSichtbar = 1, AnmeldeVSSDefaultWert=NULL, AnmeldeVSSMuss=0 Where IdAnlass= AND IdAnmeldeVSS = 101100</v>
      </c>
      <c r="AH6" s="47" t="str">
        <f t="shared" ref="AH6:AH70" si="3">IF(AF6="","",IF(J6="","",IF(I6="LookupField",AK6,"")))</f>
        <v/>
      </c>
      <c r="AI6" s="47" t="str">
        <f t="shared" ref="AI6:AI70" si="4">IF(D6&lt;&gt;"","update tblAnmeldeVSSLanguage set AnmeldeVSSBezeichnung = '" &amp; D6 &amp;"', AnmeldeVSSBezeichnungToDo = 0 " &amp;IF(H6&lt;&gt;"",", AnmeldeVSSTooltip = '"&amp; H6 &amp;"', AnmeldeVSSTooltipToDo = 0 ","") &amp; "where IDAnlass = "&amp; IDAnlass &amp;" and IDAnmeldeVSS = "&amp; B6,"")</f>
        <v>update tblAnmeldeVSSLanguage set AnmeldeVSSBezeichnung = 'Standard [ADs]', AnmeldeVSSBezeichnungToDo = 0 where IDAnlass =  and IDAnmeldeVSS = 101100</v>
      </c>
      <c r="AJ6" s="42" t="str">
        <f>IF(O6="",(IF(P6="Ansicht","INSERT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 &amp;" ,NULL ,'',349,"&amp; VLOOKUP(Q6,'AnmeldeVSS-Attribute'!$A$43:$B$50,2,FALSE)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 &amp;" ,"&amp; O6 &amp;" ,"&amp; IF(Q6="ja","'1'",IF(Q6="nein","'0'","'"&amp;Q6&amp;"'")) &amp;","&amp;IF(P6="enthält",349,IF(P6="nicht leer",352,IF(P6="enthält nicht",350,IF(P6="leer",351,0)))) &amp;" ,NULL ,GetDate() ,'scrc' ,GetDate() ,'scrc')")</f>
        <v/>
      </c>
      <c r="AK6" s="48" t="str">
        <f t="shared" ref="AK6:AK18" si="5">CONCATENATE("update tblAnmeldeVSS set AnmeldeVSSOTUseLegacyRowSource = 1, AnmeldeVssOTUseLegacyValueCalculation = 1, AnmeldeVSSRowSource='","Select ''",SUBSTITUTE(J6,",","'' where @kontextidlanguage = 1 union select ''"),"'' where @kontextidlanguage = 1 ","union select ''",SUBSTITUTE(K6,",","'' where @kontextidlanguage = 133 union select ''"),"'' where @kontextidlanguage = 133'"," where IDAnmeldeVSS ="&amp;B6&amp;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=101100 and IDAnlass=</v>
      </c>
    </row>
    <row r="7" spans="1:37" x14ac:dyDescent="0.25">
      <c r="A7" s="59"/>
      <c r="B7" s="23"/>
      <c r="C7" s="54"/>
      <c r="D7" s="54"/>
      <c r="E7" s="40"/>
      <c r="F7" s="68"/>
      <c r="G7" s="68"/>
      <c r="H7" s="68"/>
      <c r="I7" s="54"/>
      <c r="J7" s="23"/>
      <c r="K7" s="23"/>
      <c r="L7" s="23"/>
      <c r="M7" s="66"/>
      <c r="N7" s="66"/>
      <c r="O7" s="66"/>
      <c r="P7" s="66"/>
      <c r="Q7" s="68"/>
      <c r="R7" s="66"/>
      <c r="S7" s="66"/>
      <c r="T7" s="65"/>
      <c r="U7" s="65"/>
      <c r="V7" s="42"/>
      <c r="W7" s="42" t="e">
        <f>VLOOKUP($I7,'AnmeldeVSS-Attribute'!$A$2:$H$16,2,FALSE)</f>
        <v>#N/A</v>
      </c>
      <c r="X7" s="42" t="e">
        <f>VLOOKUP($I7,'AnmeldeVSS-Attribute'!$A$2:$H$16,3,FALSE)</f>
        <v>#N/A</v>
      </c>
      <c r="Y7" s="42" t="e">
        <f>VLOOKUP($I7,'AnmeldeVSS-Attribute'!$A$2:$H$16,4,FALSE)</f>
        <v>#N/A</v>
      </c>
      <c r="Z7" s="42" t="e">
        <f>VLOOKUP($I7,'AnmeldeVSS-Attribute'!$A$2:$H$16,5,FALSE)</f>
        <v>#N/A</v>
      </c>
      <c r="AA7" s="42" t="e">
        <f>VLOOKUP($I7,'AnmeldeVSS-Attribute'!$A$2:$H$16,6,FALSE)</f>
        <v>#N/A</v>
      </c>
      <c r="AB7" s="42" t="e">
        <f>VLOOKUP($I7,'AnmeldeVSS-Attribute'!$A$2:$H$16,7,FALSE)</f>
        <v>#N/A</v>
      </c>
      <c r="AC7" s="42" t="e">
        <f>IF(I7="Geldbetrag",J7,(IF(T7="",VLOOKUP($I7,'AnmeldeVSS-Attribute'!$A$2:$H$16,8,FALSE),T7)))</f>
        <v>#N/A</v>
      </c>
      <c r="AD7" s="42">
        <f>IF(S7="",0,VLOOKUP(S7,'AnmeldeVSS-Attribute'!$A$20:$B$26,2,FALSE))</f>
        <v>0</v>
      </c>
      <c r="AE7" s="42" t="e">
        <f t="shared" si="0"/>
        <v>#N/A</v>
      </c>
      <c r="AF7" s="42" t="str">
        <f t="shared" si="1"/>
        <v/>
      </c>
      <c r="AG7" s="42" t="str">
        <f t="shared" si="2"/>
        <v/>
      </c>
      <c r="AH7" s="47" t="str">
        <f t="shared" si="3"/>
        <v/>
      </c>
      <c r="AI7" s="47" t="str">
        <f t="shared" si="4"/>
        <v/>
      </c>
      <c r="AJ7" s="42" t="str">
        <f>IF(O7="",(IF(P7="Ansicht","INSERT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 &amp;" ,NULL ,'',349,"&amp; VLOOKUP(Q7,'AnmeldeVSS-Attribute'!$A$43:$B$50,2,FALSE)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 &amp;" ,"&amp; O7 &amp;" ,"&amp; IF(Q7="ja","'1'",IF(Q7="nein","'0'","'"&amp;Q7&amp;"'")) &amp;","&amp;IF(P7="enthält",349,IF(P7="nicht leer",352,IF(P7="enthält nicht",350,IF(P7="leer",351,0)))) &amp;" ,NULL ,GetDate() ,'scrc' ,GetDate() ,'scrc')")</f>
        <v/>
      </c>
      <c r="AK7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" spans="1:37" x14ac:dyDescent="0.25">
      <c r="A8" s="59"/>
      <c r="B8" s="23"/>
      <c r="C8" s="54"/>
      <c r="D8" s="54"/>
      <c r="E8" s="40"/>
      <c r="F8" s="68"/>
      <c r="G8" s="68"/>
      <c r="H8" s="68"/>
      <c r="I8" s="2"/>
      <c r="J8" s="23"/>
      <c r="K8" s="23"/>
      <c r="L8" s="23"/>
      <c r="M8" s="66"/>
      <c r="N8" s="66"/>
      <c r="O8" s="66"/>
      <c r="P8" s="66"/>
      <c r="Q8" s="68"/>
      <c r="R8" s="66"/>
      <c r="S8" s="66"/>
      <c r="T8" s="65"/>
      <c r="U8" s="65"/>
      <c r="V8" s="42"/>
      <c r="W8" s="42" t="e">
        <f>VLOOKUP($I8,'AnmeldeVSS-Attribute'!$A$2:$H$16,2,FALSE)</f>
        <v>#N/A</v>
      </c>
      <c r="X8" s="42" t="e">
        <f>VLOOKUP($I8,'AnmeldeVSS-Attribute'!$A$2:$H$16,3,FALSE)</f>
        <v>#N/A</v>
      </c>
      <c r="Y8" s="42" t="e">
        <f>VLOOKUP($I8,'AnmeldeVSS-Attribute'!$A$2:$H$16,4,FALSE)</f>
        <v>#N/A</v>
      </c>
      <c r="Z8" s="42" t="e">
        <f>VLOOKUP($I8,'AnmeldeVSS-Attribute'!$A$2:$H$16,5,FALSE)</f>
        <v>#N/A</v>
      </c>
      <c r="AA8" s="42" t="e">
        <f>VLOOKUP($I8,'AnmeldeVSS-Attribute'!$A$2:$H$16,6,FALSE)</f>
        <v>#N/A</v>
      </c>
      <c r="AB8" s="42" t="e">
        <f>VLOOKUP($I8,'AnmeldeVSS-Attribute'!$A$2:$H$16,7,FALSE)</f>
        <v>#N/A</v>
      </c>
      <c r="AC8" s="42" t="e">
        <f>IF(I8="Geldbetrag",J8,(IF(T8="",VLOOKUP($I8,'AnmeldeVSS-Attribute'!$A$2:$H$16,8,FALSE),T8)))</f>
        <v>#N/A</v>
      </c>
      <c r="AD8" s="42">
        <f>IF(S8="",0,VLOOKUP(S8,'AnmeldeVSS-Attribute'!$A$20:$B$26,2,FALSE))</f>
        <v>0</v>
      </c>
      <c r="AE8" s="42" t="e">
        <f>"IF NOT EXISTS(SELECT * FROM tblAnmeldeVSS WHERE IdAnlass = "&amp;IDAnlass&amp;" AND IdAnmeldeVSS = "&amp;B8&amp;")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"&amp;B8&amp;", 0, '"&amp;C8&amp;"', '"&amp;LEFT(E8,20)&amp;"', '"&amp;W8&amp;"', '"&amp;X8&amp;"', '"&amp;Y8&amp;"', "&amp;IF(M8="Ja","1","0")&amp;", "&amp;IF(N8="lesen","'R'",IF(N8="ändern","'E'","'H'"))&amp;", 
 '"&amp;A8&amp;"', "&amp;Z8&amp;", "&amp;AA8&amp;", "&amp;AB8&amp;", GetDate(), '"&amp;IDBenutzer&amp;"', GetDate(), '"&amp;IDBenutzer&amp;"',
0, "
&amp;IF(I8="LookupKey","'SELECT ELVValue, IDELK
FROM   qryEvt_Bus_EventoLookupKey_All
WHERE  IDELKGroup = "&amp;AB8&amp;"
AND    ELVLangCode = @KontextIdLanguage
AND    SUBSTRING(ELKAdminModus, 2, 1) &lt;&gt; ''H''
ORDER BY ELVSort'",(IF(I8="Arbeitsanweisung","'SELECT LookupfieldsValue FROM   tblLookupfields WHERE  LookupfieldsTyp = ''Arbeitsanweisung'' ORDER BY LookupFieldsSort'","Null")))&amp;", "
&amp;IF(AC8&lt;&gt;"","'"&amp;AC8&amp;"'","NULL")&amp;", '"&amp;G8&amp;"' ,"&amp;IF(I8="Arbeitsanweisung","'Arbeitsanweisung'","NULL")&amp;")"</f>
        <v>#N/A</v>
      </c>
      <c r="AF8" s="42" t="str">
        <f>IF(B8&lt;100000,"",AE8)</f>
        <v/>
      </c>
      <c r="AG8" s="42" t="str">
        <f t="shared" si="2"/>
        <v/>
      </c>
      <c r="AH8" s="47" t="str">
        <f>IF(AF8="","",IF(J8="","",IF(I8="LookupField",AK8,"")))</f>
        <v/>
      </c>
      <c r="AI8" s="47" t="str">
        <f t="shared" si="4"/>
        <v/>
      </c>
      <c r="AJ8" s="42" t="str">
        <f>IF(O8="",(IF(P8="Ansicht","INSERT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 &amp;" ,NULL ,'',349,"&amp; VLOOKUP(Q8,'AnmeldeVSS-Attribute'!$A$43:$B$50,2,FALSE)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 &amp;" ,"&amp; O8 &amp;" ,"&amp; IF(Q8="ja","'1'",IF(Q8="nein","'0'","'"&amp;Q8&amp;"'")) &amp;","&amp;IF(P8="enthält",349,IF(P8="nicht leer",352,IF(P8="enthält nicht",350,IF(P8="leer",351,0)))) &amp;" ,NULL ,GetDate() ,'scrc' ,GetDate() ,'scrc')")</f>
        <v/>
      </c>
      <c r="AK8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" spans="1:37" x14ac:dyDescent="0.25">
      <c r="A9" s="59"/>
      <c r="B9" s="23"/>
      <c r="C9" s="54"/>
      <c r="D9" s="54"/>
      <c r="E9" s="40"/>
      <c r="F9" s="68"/>
      <c r="G9" s="68"/>
      <c r="H9" s="68"/>
      <c r="I9" s="54"/>
      <c r="J9" s="23"/>
      <c r="K9" s="23"/>
      <c r="L9" s="23"/>
      <c r="M9" s="66"/>
      <c r="N9" s="66"/>
      <c r="O9" s="66"/>
      <c r="P9" s="66"/>
      <c r="Q9" s="68"/>
      <c r="R9" s="66"/>
      <c r="S9" s="66"/>
      <c r="T9" s="65"/>
      <c r="U9" s="65"/>
      <c r="V9" s="42"/>
      <c r="W9" s="42" t="e">
        <f>VLOOKUP($I9,'AnmeldeVSS-Attribute'!$A$2:$H$16,2,FALSE)</f>
        <v>#N/A</v>
      </c>
      <c r="X9" s="42" t="e">
        <f>VLOOKUP($I9,'AnmeldeVSS-Attribute'!$A$2:$H$16,3,FALSE)</f>
        <v>#N/A</v>
      </c>
      <c r="Y9" s="42" t="e">
        <f>VLOOKUP($I9,'AnmeldeVSS-Attribute'!$A$2:$H$16,4,FALSE)</f>
        <v>#N/A</v>
      </c>
      <c r="Z9" s="42" t="e">
        <f>VLOOKUP($I9,'AnmeldeVSS-Attribute'!$A$2:$H$16,5,FALSE)</f>
        <v>#N/A</v>
      </c>
      <c r="AA9" s="42" t="e">
        <f>VLOOKUP($I9,'AnmeldeVSS-Attribute'!$A$2:$H$16,6,FALSE)</f>
        <v>#N/A</v>
      </c>
      <c r="AB9" s="42" t="e">
        <f>VLOOKUP($I9,'AnmeldeVSS-Attribute'!$A$2:$H$16,7,FALSE)</f>
        <v>#N/A</v>
      </c>
      <c r="AC9" s="42" t="e">
        <f>IF(I9="Geldbetrag",J9,(IF(T9="",VLOOKUP($I9,'AnmeldeVSS-Attribute'!$A$2:$H$16,8,FALSE),T9)))</f>
        <v>#N/A</v>
      </c>
      <c r="AD9" s="42">
        <f>IF(S9="",0,VLOOKUP(S9,'AnmeldeVSS-Attribute'!$A$20:$B$26,2,FALSE))</f>
        <v>0</v>
      </c>
      <c r="AE9" s="42" t="e">
        <f t="shared" si="0"/>
        <v>#N/A</v>
      </c>
      <c r="AF9" s="42" t="str">
        <f t="shared" si="1"/>
        <v/>
      </c>
      <c r="AG9" s="42" t="str">
        <f t="shared" si="2"/>
        <v/>
      </c>
      <c r="AH9" s="47" t="str">
        <f t="shared" si="3"/>
        <v/>
      </c>
      <c r="AI9" s="47" t="str">
        <f t="shared" si="4"/>
        <v/>
      </c>
      <c r="AJ9" s="42" t="str">
        <f>IF(O9="",(IF(P9="Ansicht","INSERT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 &amp;" ,NULL ,'',349,"&amp; VLOOKUP(Q9,'AnmeldeVSS-Attribute'!$A$43:$B$50,2,FALSE)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 &amp;" ,"&amp; O9 &amp;" ,"&amp; IF(Q9="ja","'1'",IF(Q9="nein","'0'","'"&amp;Q9&amp;"'")) &amp;","&amp;IF(P9="enthält",349,IF(P9="nicht leer",352,IF(P9="enthält nicht",350,IF(P9="leer",351,0)))) &amp;" ,NULL ,GetDate() ,'scrc' ,GetDate() ,'scrc')")</f>
        <v/>
      </c>
      <c r="AK9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" spans="1:37" x14ac:dyDescent="0.25">
      <c r="A10" s="59"/>
      <c r="B10" s="23"/>
      <c r="C10" s="54"/>
      <c r="D10" s="54"/>
      <c r="E10" s="40"/>
      <c r="F10" s="68"/>
      <c r="G10" s="68"/>
      <c r="H10" s="68"/>
      <c r="I10" s="54"/>
      <c r="J10" s="23"/>
      <c r="K10" s="23"/>
      <c r="L10" s="23"/>
      <c r="M10" s="66"/>
      <c r="N10" s="66"/>
      <c r="O10" s="66"/>
      <c r="P10" s="66"/>
      <c r="Q10" s="68"/>
      <c r="R10" s="66"/>
      <c r="S10" s="66"/>
      <c r="T10" s="65"/>
      <c r="U10" s="65"/>
      <c r="V10" s="42"/>
      <c r="W10" s="42" t="e">
        <f>VLOOKUP($I10,'AnmeldeVSS-Attribute'!$A$2:$H$16,2,FALSE)</f>
        <v>#N/A</v>
      </c>
      <c r="X10" s="42" t="e">
        <f>VLOOKUP($I10,'AnmeldeVSS-Attribute'!$A$2:$H$16,3,FALSE)</f>
        <v>#N/A</v>
      </c>
      <c r="Y10" s="42" t="e">
        <f>VLOOKUP($I10,'AnmeldeVSS-Attribute'!$A$2:$H$16,4,FALSE)</f>
        <v>#N/A</v>
      </c>
      <c r="Z10" s="42" t="e">
        <f>VLOOKUP($I10,'AnmeldeVSS-Attribute'!$A$2:$H$16,5,FALSE)</f>
        <v>#N/A</v>
      </c>
      <c r="AA10" s="42" t="e">
        <f>VLOOKUP($I10,'AnmeldeVSS-Attribute'!$A$2:$H$16,6,FALSE)</f>
        <v>#N/A</v>
      </c>
      <c r="AB10" s="42" t="e">
        <f>VLOOKUP($I10,'AnmeldeVSS-Attribute'!$A$2:$H$16,7,FALSE)</f>
        <v>#N/A</v>
      </c>
      <c r="AC10" s="42" t="e">
        <f>IF(I10="Geldbetrag",J10,(IF(T10="",VLOOKUP($I10,'AnmeldeVSS-Attribute'!$A$2:$H$16,8,FALSE),T10)))</f>
        <v>#N/A</v>
      </c>
      <c r="AD10" s="42">
        <f>IF(S10="",0,VLOOKUP(S10,'AnmeldeVSS-Attribute'!$A$20:$B$26,2,FALSE))</f>
        <v>0</v>
      </c>
      <c r="AE10" s="42" t="e">
        <f t="shared" si="0"/>
        <v>#N/A</v>
      </c>
      <c r="AF10" s="42" t="str">
        <f t="shared" si="1"/>
        <v/>
      </c>
      <c r="AG10" s="42" t="str">
        <f t="shared" si="2"/>
        <v/>
      </c>
      <c r="AH10" s="47" t="str">
        <f t="shared" si="3"/>
        <v/>
      </c>
      <c r="AI10" s="47" t="str">
        <f t="shared" si="4"/>
        <v/>
      </c>
      <c r="AJ10" s="42" t="str">
        <f>IF(O10="",(IF(P10="Ansicht","INSERT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 &amp;" ,NULL ,'',349,"&amp; VLOOKUP(Q10,'AnmeldeVSS-Attribute'!$A$43:$B$50,2,FALSE)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 &amp;" ,"&amp; O10 &amp;" ,"&amp; IF(Q10="ja","'1'",IF(Q10="nein","'0'","'"&amp;Q10&amp;"'")) &amp;","&amp;IF(P10="enthält",349,IF(P10="nicht leer",352,IF(P10="enthält nicht",350,IF(P10="leer",351,0)))) &amp;" ,NULL ,GetDate() ,'scrc' ,GetDate() ,'scrc')")</f>
        <v/>
      </c>
      <c r="AK10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" spans="1:37" x14ac:dyDescent="0.25">
      <c r="A11" s="59"/>
      <c r="B11" s="23"/>
      <c r="C11" s="54"/>
      <c r="D11" s="54"/>
      <c r="E11" s="40"/>
      <c r="F11" s="68"/>
      <c r="G11" s="68"/>
      <c r="H11" s="68"/>
      <c r="I11" s="54"/>
      <c r="J11" s="23"/>
      <c r="K11" s="23"/>
      <c r="L11" s="23"/>
      <c r="M11" s="66"/>
      <c r="N11" s="66"/>
      <c r="O11" s="66"/>
      <c r="P11" s="66"/>
      <c r="Q11" s="68"/>
      <c r="R11" s="66"/>
      <c r="S11" s="66"/>
      <c r="T11" s="65"/>
      <c r="U11" s="65"/>
      <c r="V11" s="42"/>
      <c r="W11" s="42" t="e">
        <f>VLOOKUP($I11,'AnmeldeVSS-Attribute'!$A$2:$H$16,2,FALSE)</f>
        <v>#N/A</v>
      </c>
      <c r="X11" s="42" t="e">
        <f>VLOOKUP($I11,'AnmeldeVSS-Attribute'!$A$2:$H$16,3,FALSE)</f>
        <v>#N/A</v>
      </c>
      <c r="Y11" s="42" t="e">
        <f>VLOOKUP($I11,'AnmeldeVSS-Attribute'!$A$2:$H$16,4,FALSE)</f>
        <v>#N/A</v>
      </c>
      <c r="Z11" s="42" t="e">
        <f>VLOOKUP($I11,'AnmeldeVSS-Attribute'!$A$2:$H$16,5,FALSE)</f>
        <v>#N/A</v>
      </c>
      <c r="AA11" s="42" t="e">
        <f>VLOOKUP($I11,'AnmeldeVSS-Attribute'!$A$2:$H$16,6,FALSE)</f>
        <v>#N/A</v>
      </c>
      <c r="AB11" s="42" t="e">
        <f>VLOOKUP($I11,'AnmeldeVSS-Attribute'!$A$2:$H$16,7,FALSE)</f>
        <v>#N/A</v>
      </c>
      <c r="AC11" s="42" t="e">
        <f>IF(I11="Geldbetrag",J11,(IF(T11="",VLOOKUP($I11,'AnmeldeVSS-Attribute'!$A$2:$H$16,8,FALSE),T11)))</f>
        <v>#N/A</v>
      </c>
      <c r="AD11" s="42">
        <f>IF(S11="",0,VLOOKUP(S11,'AnmeldeVSS-Attribute'!$A$20:$B$26,2,FALSE))</f>
        <v>0</v>
      </c>
      <c r="AE11" s="42" t="e">
        <f t="shared" si="0"/>
        <v>#N/A</v>
      </c>
      <c r="AF11" s="42" t="str">
        <f t="shared" si="1"/>
        <v/>
      </c>
      <c r="AG11" s="42" t="str">
        <f t="shared" si="2"/>
        <v/>
      </c>
      <c r="AH11" s="47" t="str">
        <f t="shared" si="3"/>
        <v/>
      </c>
      <c r="AI11" s="47" t="str">
        <f t="shared" si="4"/>
        <v/>
      </c>
      <c r="AJ11" s="42" t="str">
        <f>IF(O11="",(IF(P11="Ansicht","INSERT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 &amp;" ,NULL ,'',349,"&amp; VLOOKUP(Q11,'AnmeldeVSS-Attribute'!$A$43:$B$50,2,FALSE)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 &amp;" ,"&amp; O11 &amp;" ,"&amp; IF(Q11="ja","'1'",IF(Q11="nein","'0'","'"&amp;Q11&amp;"'")) &amp;","&amp;IF(P11="enthält",349,IF(P11="nicht leer",352,IF(P11="enthält nicht",350,IF(P11="leer",351,0)))) &amp;" ,NULL ,GetDate() ,'scrc' ,GetDate() ,'scrc')")</f>
        <v/>
      </c>
      <c r="AK11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" spans="1:37" x14ac:dyDescent="0.25">
      <c r="A12" s="59"/>
      <c r="B12" s="23"/>
      <c r="C12" s="54"/>
      <c r="D12" s="54"/>
      <c r="E12" s="40"/>
      <c r="F12" s="68"/>
      <c r="G12" s="68"/>
      <c r="H12" s="68"/>
      <c r="I12" s="54"/>
      <c r="J12" s="23"/>
      <c r="K12" s="23"/>
      <c r="L12" s="23"/>
      <c r="M12" s="66"/>
      <c r="N12" s="66"/>
      <c r="O12" s="66"/>
      <c r="P12" s="66"/>
      <c r="Q12" s="68"/>
      <c r="R12" s="66"/>
      <c r="S12" s="66"/>
      <c r="T12" s="65"/>
      <c r="U12" s="65"/>
      <c r="V12" s="42"/>
      <c r="W12" s="42" t="e">
        <f>VLOOKUP($I12,'AnmeldeVSS-Attribute'!$A$2:$H$16,2,FALSE)</f>
        <v>#N/A</v>
      </c>
      <c r="X12" s="42" t="e">
        <f>VLOOKUP($I12,'AnmeldeVSS-Attribute'!$A$2:$H$16,3,FALSE)</f>
        <v>#N/A</v>
      </c>
      <c r="Y12" s="42" t="e">
        <f>VLOOKUP($I12,'AnmeldeVSS-Attribute'!$A$2:$H$16,4,FALSE)</f>
        <v>#N/A</v>
      </c>
      <c r="Z12" s="42" t="e">
        <f>VLOOKUP($I12,'AnmeldeVSS-Attribute'!$A$2:$H$16,5,FALSE)</f>
        <v>#N/A</v>
      </c>
      <c r="AA12" s="42" t="e">
        <f>VLOOKUP($I12,'AnmeldeVSS-Attribute'!$A$2:$H$16,6,FALSE)</f>
        <v>#N/A</v>
      </c>
      <c r="AB12" s="42" t="e">
        <f>VLOOKUP($I12,'AnmeldeVSS-Attribute'!$A$2:$H$16,7,FALSE)</f>
        <v>#N/A</v>
      </c>
      <c r="AC12" s="42" t="e">
        <f>IF(I12="Geldbetrag",J12,(IF(T12="",VLOOKUP($I12,'AnmeldeVSS-Attribute'!$A$2:$H$16,8,FALSE),T12)))</f>
        <v>#N/A</v>
      </c>
      <c r="AD12" s="42">
        <f>IF(S12="",0,VLOOKUP(S12,'AnmeldeVSS-Attribute'!$A$20:$B$26,2,FALSE))</f>
        <v>0</v>
      </c>
      <c r="AE12" s="42" t="e">
        <f t="shared" si="0"/>
        <v>#N/A</v>
      </c>
      <c r="AF12" s="42" t="str">
        <f t="shared" si="1"/>
        <v/>
      </c>
      <c r="AG12" s="42" t="str">
        <f t="shared" si="2"/>
        <v/>
      </c>
      <c r="AH12" s="47" t="str">
        <f t="shared" si="3"/>
        <v/>
      </c>
      <c r="AI12" s="47" t="str">
        <f t="shared" si="4"/>
        <v/>
      </c>
      <c r="AJ12" s="42" t="str">
        <f>IF(O12="",(IF(P12="Ansicht","INSERT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 &amp;" ,NULL ,'',349,"&amp; VLOOKUP(Q12,'AnmeldeVSS-Attribute'!$A$43:$B$50,2,FALSE)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 &amp;" ,"&amp; O12 &amp;" ,"&amp; IF(Q12="ja","'1'",IF(Q12="nein","'0'","'"&amp;Q12&amp;"'")) &amp;","&amp;IF(P12="enthält",349,IF(P12="nicht leer",352,IF(P12="enthält nicht",350,IF(P12="leer",351,0)))) &amp;" ,NULL ,GetDate() ,'scrc' ,GetDate() ,'scrc')")</f>
        <v/>
      </c>
      <c r="AK12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" spans="1:37" x14ac:dyDescent="0.25">
      <c r="A13" s="59"/>
      <c r="B13" s="23"/>
      <c r="C13" s="54"/>
      <c r="D13" s="54"/>
      <c r="E13" s="40"/>
      <c r="F13" s="68"/>
      <c r="G13" s="68"/>
      <c r="H13" s="68"/>
      <c r="I13" s="54"/>
      <c r="J13" s="23"/>
      <c r="K13" s="23"/>
      <c r="L13" s="23"/>
      <c r="M13" s="66"/>
      <c r="N13" s="66"/>
      <c r="O13" s="66"/>
      <c r="P13" s="66"/>
      <c r="Q13" s="68"/>
      <c r="R13" s="66"/>
      <c r="S13" s="66"/>
      <c r="T13" s="65"/>
      <c r="U13" s="65"/>
      <c r="W13" s="42" t="e">
        <f>VLOOKUP($I13,'AnmeldeVSS-Attribute'!$A$2:$H$16,2,FALSE)</f>
        <v>#N/A</v>
      </c>
      <c r="X13" s="42" t="e">
        <f>VLOOKUP($I13,'AnmeldeVSS-Attribute'!$A$2:$H$16,3,FALSE)</f>
        <v>#N/A</v>
      </c>
      <c r="Y13" s="42" t="e">
        <f>VLOOKUP($I13,'AnmeldeVSS-Attribute'!$A$2:$H$16,4,FALSE)</f>
        <v>#N/A</v>
      </c>
      <c r="Z13" s="42" t="e">
        <f>VLOOKUP($I13,'AnmeldeVSS-Attribute'!$A$2:$H$16,5,FALSE)</f>
        <v>#N/A</v>
      </c>
      <c r="AA13" s="42" t="e">
        <f>VLOOKUP($I13,'AnmeldeVSS-Attribute'!$A$2:$H$16,6,FALSE)</f>
        <v>#N/A</v>
      </c>
      <c r="AB13" s="42" t="e">
        <f>VLOOKUP($I13,'AnmeldeVSS-Attribute'!$A$2:$H$16,7,FALSE)</f>
        <v>#N/A</v>
      </c>
      <c r="AC13" s="42" t="e">
        <f>IF(I13="Geldbetrag",J13,(IF(T13="",VLOOKUP($I13,'AnmeldeVSS-Attribute'!$A$2:$H$16,8,FALSE),T13)))</f>
        <v>#N/A</v>
      </c>
      <c r="AD13" s="42">
        <f>IF(S13="",0,VLOOKUP(S13,'AnmeldeVSS-Attribute'!$A$20:$B$26,2,FALSE))</f>
        <v>0</v>
      </c>
      <c r="AE13" s="42" t="e">
        <f t="shared" si="0"/>
        <v>#N/A</v>
      </c>
      <c r="AF13" s="42" t="str">
        <f t="shared" si="1"/>
        <v/>
      </c>
      <c r="AG13" s="42" t="str">
        <f t="shared" si="2"/>
        <v/>
      </c>
      <c r="AH13" s="47" t="str">
        <f t="shared" si="3"/>
        <v/>
      </c>
      <c r="AI13" s="47" t="str">
        <f t="shared" si="4"/>
        <v/>
      </c>
      <c r="AJ13" s="42" t="str">
        <f>IF(O13="",(IF(P13="Ansicht","INSERT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 &amp;" ,NULL ,'',349,"&amp; VLOOKUP(Q13,'AnmeldeVSS-Attribute'!$A$43:$B$50,2,FALSE)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 &amp;" ,"&amp; O13 &amp;" ,"&amp; IF(Q13="ja","'1'",IF(Q13="nein","'0'","'"&amp;Q13&amp;"'")) &amp;","&amp;IF(P13="enthält",349,IF(P13="nicht leer",352,IF(P13="enthält nicht",350,IF(P13="leer",351,0)))) &amp;" ,NULL ,GetDate() ,'scrc' ,GetDate() ,'scrc')")</f>
        <v/>
      </c>
      <c r="AK13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" spans="1:37" x14ac:dyDescent="0.25">
      <c r="A14" s="59"/>
      <c r="B14" s="23"/>
      <c r="C14" s="54"/>
      <c r="D14" s="54"/>
      <c r="E14" s="40"/>
      <c r="F14" s="68"/>
      <c r="G14" s="68"/>
      <c r="H14" s="68"/>
      <c r="I14" s="54"/>
      <c r="J14" s="23"/>
      <c r="K14" s="23"/>
      <c r="L14" s="23"/>
      <c r="M14" s="66"/>
      <c r="N14" s="66"/>
      <c r="O14" s="66"/>
      <c r="P14" s="66"/>
      <c r="Q14" s="68"/>
      <c r="R14" s="66"/>
      <c r="S14" s="66"/>
      <c r="T14" s="65"/>
      <c r="U14" s="65"/>
      <c r="W14" s="42" t="e">
        <f>VLOOKUP($I14,'AnmeldeVSS-Attribute'!$A$2:$H$16,2,FALSE)</f>
        <v>#N/A</v>
      </c>
      <c r="X14" s="42" t="e">
        <f>VLOOKUP($I14,'AnmeldeVSS-Attribute'!$A$2:$H$16,3,FALSE)</f>
        <v>#N/A</v>
      </c>
      <c r="Y14" s="42" t="e">
        <f>VLOOKUP($I14,'AnmeldeVSS-Attribute'!$A$2:$H$16,4,FALSE)</f>
        <v>#N/A</v>
      </c>
      <c r="Z14" s="42" t="e">
        <f>VLOOKUP($I14,'AnmeldeVSS-Attribute'!$A$2:$H$16,5,FALSE)</f>
        <v>#N/A</v>
      </c>
      <c r="AA14" s="42" t="e">
        <f>VLOOKUP($I14,'AnmeldeVSS-Attribute'!$A$2:$H$16,6,FALSE)</f>
        <v>#N/A</v>
      </c>
      <c r="AB14" s="42" t="e">
        <f>VLOOKUP($I14,'AnmeldeVSS-Attribute'!$A$2:$H$16,7,FALSE)</f>
        <v>#N/A</v>
      </c>
      <c r="AC14" s="42" t="e">
        <f>IF(I14="Geldbetrag",J14,(IF(T14="",VLOOKUP($I14,'AnmeldeVSS-Attribute'!$A$2:$H$16,8,FALSE),T14)))</f>
        <v>#N/A</v>
      </c>
      <c r="AD14" s="42">
        <f>IF(S14="",0,VLOOKUP(S14,'AnmeldeVSS-Attribute'!$A$20:$B$26,2,FALSE))</f>
        <v>0</v>
      </c>
      <c r="AE14" s="42" t="e">
        <f t="shared" si="0"/>
        <v>#N/A</v>
      </c>
      <c r="AF14" s="42" t="str">
        <f t="shared" si="1"/>
        <v/>
      </c>
      <c r="AG14" s="42" t="str">
        <f t="shared" si="2"/>
        <v/>
      </c>
      <c r="AH14" s="47" t="str">
        <f t="shared" si="3"/>
        <v/>
      </c>
      <c r="AI14" s="47" t="str">
        <f t="shared" si="4"/>
        <v/>
      </c>
      <c r="AJ14" s="42" t="str">
        <f>IF(O14="",(IF(P14="Ansicht","INSERT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 &amp;" ,NULL ,'',349,"&amp; VLOOKUP(Q14,'AnmeldeVSS-Attribute'!$A$43:$B$50,2,FALSE)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 &amp;" ,"&amp; O14 &amp;" ,"&amp; IF(Q14="ja","'1'",IF(Q14="nein","'0'","'"&amp;Q14&amp;"'")) &amp;","&amp;IF(P14="enthält",349,IF(P14="nicht leer",352,IF(P14="enthält nicht",350,IF(P14="leer",351,0)))) &amp;" ,NULL ,GetDate() ,'scrc' ,GetDate() ,'scrc')")</f>
        <v/>
      </c>
      <c r="AK14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" spans="1:37" x14ac:dyDescent="0.25">
      <c r="A15" s="59"/>
      <c r="B15" s="23"/>
      <c r="C15" s="54"/>
      <c r="D15" s="54"/>
      <c r="E15" s="40"/>
      <c r="F15" s="68"/>
      <c r="G15" s="68"/>
      <c r="H15" s="68"/>
      <c r="I15" s="54"/>
      <c r="J15" s="23"/>
      <c r="K15" s="23"/>
      <c r="L15" s="23"/>
      <c r="M15" s="66"/>
      <c r="N15" s="66"/>
      <c r="O15" s="66"/>
      <c r="P15" s="66"/>
      <c r="Q15" s="68"/>
      <c r="R15" s="66"/>
      <c r="S15" s="66"/>
      <c r="T15" s="69"/>
      <c r="U15" s="69"/>
      <c r="V15" s="42"/>
      <c r="W15" s="42" t="e">
        <f>VLOOKUP($I15,'AnmeldeVSS-Attribute'!$A$2:$H$16,2,FALSE)</f>
        <v>#N/A</v>
      </c>
      <c r="X15" s="42" t="e">
        <f>VLOOKUP($I15,'AnmeldeVSS-Attribute'!$A$2:$H$16,3,FALSE)</f>
        <v>#N/A</v>
      </c>
      <c r="Y15" s="42" t="e">
        <f>VLOOKUP($I15,'AnmeldeVSS-Attribute'!$A$2:$H$16,4,FALSE)</f>
        <v>#N/A</v>
      </c>
      <c r="Z15" s="42" t="e">
        <f>VLOOKUP($I15,'AnmeldeVSS-Attribute'!$A$2:$H$16,5,FALSE)</f>
        <v>#N/A</v>
      </c>
      <c r="AA15" s="42" t="e">
        <f>VLOOKUP($I15,'AnmeldeVSS-Attribute'!$A$2:$H$16,6,FALSE)</f>
        <v>#N/A</v>
      </c>
      <c r="AB15" s="42" t="e">
        <f>VLOOKUP($I15,'AnmeldeVSS-Attribute'!$A$2:$H$16,7,FALSE)</f>
        <v>#N/A</v>
      </c>
      <c r="AC15" s="42" t="e">
        <f>IF(I15="Geldbetrag",J15,(IF(T15="",VLOOKUP($I15,'AnmeldeVSS-Attribute'!$A$2:$H$16,8,FALSE),T15)))</f>
        <v>#N/A</v>
      </c>
      <c r="AD15" s="42">
        <f>IF(S15="",0,VLOOKUP(S15,'AnmeldeVSS-Attribute'!$A$20:$B$26,2,FALSE))</f>
        <v>0</v>
      </c>
      <c r="AE15" s="42" t="e">
        <f t="shared" si="0"/>
        <v>#N/A</v>
      </c>
      <c r="AF15" s="42" t="str">
        <f t="shared" si="1"/>
        <v/>
      </c>
      <c r="AG15" s="42" t="str">
        <f t="shared" si="2"/>
        <v/>
      </c>
      <c r="AH15" s="47" t="str">
        <f t="shared" si="3"/>
        <v/>
      </c>
      <c r="AI15" s="47" t="str">
        <f t="shared" si="4"/>
        <v/>
      </c>
      <c r="AJ15" s="42" t="str">
        <f>IF(O15="",(IF(P15="Ansicht","INSERT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 &amp;" ,NULL ,'',349,"&amp; VLOOKUP(Q15,'AnmeldeVSS-Attribute'!$A$43:$B$50,2,FALSE)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 &amp;" ,"&amp; O15 &amp;" ,"&amp; IF(Q15="ja","'1'",IF(Q15="nein","'0'","'"&amp;Q15&amp;"'")) &amp;","&amp;IF(P15="enthält",349,IF(P15="nicht leer",352,IF(P15="enthält nicht",350,IF(P15="leer",351,0)))) &amp;" ,NULL ,GetDate() ,'scrc' ,GetDate() ,'scrc')")</f>
        <v/>
      </c>
      <c r="AK15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" spans="1:37" x14ac:dyDescent="0.25">
      <c r="A16" s="59"/>
      <c r="B16" s="23"/>
      <c r="C16" s="54"/>
      <c r="D16" s="54"/>
      <c r="E16" s="40"/>
      <c r="F16" s="68"/>
      <c r="G16" s="68"/>
      <c r="H16" s="68"/>
      <c r="I16" s="54"/>
      <c r="J16" s="23"/>
      <c r="K16" s="23"/>
      <c r="L16" s="23"/>
      <c r="M16" s="66"/>
      <c r="N16" s="66"/>
      <c r="O16" s="66"/>
      <c r="P16" s="66"/>
      <c r="Q16" s="68"/>
      <c r="R16" s="66"/>
      <c r="S16" s="66"/>
      <c r="T16" s="65"/>
      <c r="U16" s="65"/>
      <c r="V16" s="42"/>
      <c r="W16" s="42" t="e">
        <f>VLOOKUP($I16,'AnmeldeVSS-Attribute'!$A$2:$H$16,2,FALSE)</f>
        <v>#N/A</v>
      </c>
      <c r="X16" s="42" t="e">
        <f>VLOOKUP($I16,'AnmeldeVSS-Attribute'!$A$2:$H$16,3,FALSE)</f>
        <v>#N/A</v>
      </c>
      <c r="Y16" s="42" t="e">
        <f>VLOOKUP($I16,'AnmeldeVSS-Attribute'!$A$2:$H$16,4,FALSE)</f>
        <v>#N/A</v>
      </c>
      <c r="Z16" s="42" t="e">
        <f>VLOOKUP($I16,'AnmeldeVSS-Attribute'!$A$2:$H$16,5,FALSE)</f>
        <v>#N/A</v>
      </c>
      <c r="AA16" s="42" t="e">
        <f>VLOOKUP($I16,'AnmeldeVSS-Attribute'!$A$2:$H$16,6,FALSE)</f>
        <v>#N/A</v>
      </c>
      <c r="AB16" s="42" t="e">
        <f>VLOOKUP($I16,'AnmeldeVSS-Attribute'!$A$2:$H$16,7,FALSE)</f>
        <v>#N/A</v>
      </c>
      <c r="AC16" s="42" t="e">
        <f>IF(I16="Geldbetrag",J16,(IF(T16="",VLOOKUP($I16,'AnmeldeVSS-Attribute'!$A$2:$H$16,8,FALSE),T16)))</f>
        <v>#N/A</v>
      </c>
      <c r="AD16" s="42">
        <f>IF(S16="",0,VLOOKUP(S16,'AnmeldeVSS-Attribute'!$A$20:$B$26,2,FALSE))</f>
        <v>0</v>
      </c>
      <c r="AE16" s="42" t="e">
        <f t="shared" si="0"/>
        <v>#N/A</v>
      </c>
      <c r="AF16" s="42" t="str">
        <f t="shared" si="1"/>
        <v/>
      </c>
      <c r="AG16" s="42" t="str">
        <f t="shared" si="2"/>
        <v/>
      </c>
      <c r="AH16" s="47" t="str">
        <f t="shared" si="3"/>
        <v/>
      </c>
      <c r="AI16" s="47" t="str">
        <f t="shared" si="4"/>
        <v/>
      </c>
      <c r="AJ16" s="42" t="str">
        <f>IF(O16="",(IF(P16="Ansicht","INSERT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 &amp;" ,NULL ,'',349,"&amp; VLOOKUP(Q16,'AnmeldeVSS-Attribute'!$A$43:$B$50,2,FALSE)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 &amp;" ,"&amp; O16 &amp;" ,"&amp; IF(Q16="ja","'1'",IF(Q16="nein","'0'","'"&amp;Q16&amp;"'")) &amp;","&amp;IF(P16="enthält",349,IF(P16="nicht leer",352,IF(P16="enthält nicht",350,IF(P16="leer",351,0)))) &amp;" ,NULL ,GetDate() ,'scrc' ,GetDate() ,'scrc')")</f>
        <v/>
      </c>
      <c r="AK16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" spans="1:37" x14ac:dyDescent="0.25">
      <c r="A17" s="59"/>
      <c r="B17" s="23"/>
      <c r="C17" s="54"/>
      <c r="D17" s="54"/>
      <c r="E17" s="40"/>
      <c r="F17" s="68"/>
      <c r="G17" s="68"/>
      <c r="H17" s="68"/>
      <c r="I17" s="54"/>
      <c r="J17" s="23"/>
      <c r="K17" s="23"/>
      <c r="L17" s="23"/>
      <c r="M17" s="66"/>
      <c r="N17" s="66"/>
      <c r="O17" s="66"/>
      <c r="P17" s="66"/>
      <c r="Q17" s="68"/>
      <c r="R17" s="66"/>
      <c r="S17" s="66"/>
      <c r="T17" s="65"/>
      <c r="U17" s="65"/>
      <c r="W17" s="42" t="e">
        <f>VLOOKUP($I17,'AnmeldeVSS-Attribute'!$A$2:$H$16,2,FALSE)</f>
        <v>#N/A</v>
      </c>
      <c r="X17" s="42" t="e">
        <f>VLOOKUP($I17,'AnmeldeVSS-Attribute'!$A$2:$H$16,3,FALSE)</f>
        <v>#N/A</v>
      </c>
      <c r="Y17" s="42" t="e">
        <f>VLOOKUP($I17,'AnmeldeVSS-Attribute'!$A$2:$H$16,4,FALSE)</f>
        <v>#N/A</v>
      </c>
      <c r="Z17" s="42" t="e">
        <f>VLOOKUP($I17,'AnmeldeVSS-Attribute'!$A$2:$H$16,5,FALSE)</f>
        <v>#N/A</v>
      </c>
      <c r="AA17" s="42" t="e">
        <f>VLOOKUP($I17,'AnmeldeVSS-Attribute'!$A$2:$H$16,6,FALSE)</f>
        <v>#N/A</v>
      </c>
      <c r="AB17" s="42" t="e">
        <f>VLOOKUP($I17,'AnmeldeVSS-Attribute'!$A$2:$H$16,7,FALSE)</f>
        <v>#N/A</v>
      </c>
      <c r="AC17" s="42" t="e">
        <f>IF(I17="Geldbetrag",J17,(IF(T17="",VLOOKUP($I17,'AnmeldeVSS-Attribute'!$A$2:$H$16,8,FALSE),T17)))</f>
        <v>#N/A</v>
      </c>
      <c r="AD17" s="42">
        <f>IF(S17="",0,VLOOKUP(S17,'AnmeldeVSS-Attribute'!$A$20:$B$26,2,FALSE))</f>
        <v>0</v>
      </c>
      <c r="AE17" s="42" t="e">
        <f t="shared" si="0"/>
        <v>#N/A</v>
      </c>
      <c r="AF17" s="42" t="str">
        <f t="shared" si="1"/>
        <v/>
      </c>
      <c r="AG17" s="42" t="str">
        <f t="shared" si="2"/>
        <v/>
      </c>
      <c r="AH17" s="47" t="str">
        <f t="shared" si="3"/>
        <v/>
      </c>
      <c r="AI17" s="47" t="str">
        <f t="shared" si="4"/>
        <v/>
      </c>
      <c r="AJ17" s="42" t="str">
        <f>IF(O17="",(IF(P17="Ansicht","INSERT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 &amp;" ,NULL ,'',349,"&amp; VLOOKUP(Q17,'AnmeldeVSS-Attribute'!$A$43:$B$50,2,FALSE)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 &amp;" ,"&amp; O17 &amp;" ,"&amp; IF(Q17="ja","'1'",IF(Q17="nein","'0'","'"&amp;Q17&amp;"'")) &amp;","&amp;IF(P17="enthält",349,IF(P17="nicht leer",352,IF(P17="enthält nicht",350,IF(P17="leer",351,0)))) &amp;" ,NULL ,GetDate() ,'scrc' ,GetDate() ,'scrc')")</f>
        <v/>
      </c>
      <c r="AK17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" spans="1:37" x14ac:dyDescent="0.25">
      <c r="A18" s="59"/>
      <c r="B18" s="23"/>
      <c r="C18" s="54"/>
      <c r="D18" s="54"/>
      <c r="E18" s="40"/>
      <c r="F18" s="68"/>
      <c r="G18" s="68"/>
      <c r="H18" s="68"/>
      <c r="I18" s="54"/>
      <c r="J18" s="23"/>
      <c r="K18" s="23"/>
      <c r="L18" s="23"/>
      <c r="M18" s="66"/>
      <c r="N18" s="66"/>
      <c r="O18" s="66"/>
      <c r="P18" s="66"/>
      <c r="Q18" s="68"/>
      <c r="R18" s="66"/>
      <c r="S18" s="66"/>
      <c r="T18" s="65"/>
      <c r="U18" s="65"/>
      <c r="W18" s="42" t="e">
        <f>VLOOKUP($I18,'AnmeldeVSS-Attribute'!$A$2:$H$16,2,FALSE)</f>
        <v>#N/A</v>
      </c>
      <c r="X18" s="42" t="e">
        <f>VLOOKUP($I18,'AnmeldeVSS-Attribute'!$A$2:$H$16,3,FALSE)</f>
        <v>#N/A</v>
      </c>
      <c r="Y18" s="42" t="e">
        <f>VLOOKUP($I18,'AnmeldeVSS-Attribute'!$A$2:$H$16,4,FALSE)</f>
        <v>#N/A</v>
      </c>
      <c r="Z18" s="42" t="e">
        <f>VLOOKUP($I18,'AnmeldeVSS-Attribute'!$A$2:$H$16,5,FALSE)</f>
        <v>#N/A</v>
      </c>
      <c r="AA18" s="42" t="e">
        <f>VLOOKUP($I18,'AnmeldeVSS-Attribute'!$A$2:$H$16,6,FALSE)</f>
        <v>#N/A</v>
      </c>
      <c r="AB18" s="42" t="e">
        <f>VLOOKUP($I18,'AnmeldeVSS-Attribute'!$A$2:$H$16,7,FALSE)</f>
        <v>#N/A</v>
      </c>
      <c r="AC18" s="42" t="e">
        <f>IF(I18="Geldbetrag",J18,(IF(T18="",VLOOKUP($I18,'AnmeldeVSS-Attribute'!$A$2:$H$16,8,FALSE),T18)))</f>
        <v>#N/A</v>
      </c>
      <c r="AD18" s="42">
        <f>IF(S18="",0,VLOOKUP(S18,'AnmeldeVSS-Attribute'!$A$20:$B$26,2,FALSE))</f>
        <v>0</v>
      </c>
      <c r="AE18" s="42" t="e">
        <f t="shared" si="0"/>
        <v>#N/A</v>
      </c>
      <c r="AF18" s="42" t="str">
        <f t="shared" si="1"/>
        <v/>
      </c>
      <c r="AG18" s="42" t="str">
        <f t="shared" si="2"/>
        <v/>
      </c>
      <c r="AH18" s="47" t="str">
        <f t="shared" si="3"/>
        <v/>
      </c>
      <c r="AI18" s="47" t="str">
        <f t="shared" si="4"/>
        <v/>
      </c>
      <c r="AJ18" s="42" t="str">
        <f>IF(O18="",(IF(P18="Ansicht","INSERT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 &amp;" ,NULL ,'',349,"&amp; VLOOKUP(Q18,'AnmeldeVSS-Attribute'!$A$43:$B$50,2,FALSE)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 &amp;" ,"&amp; O18 &amp;" ,"&amp; IF(Q18="ja","'1'",IF(Q18="nein","'0'","'"&amp;Q18&amp;"'")) &amp;","&amp;IF(P18="enthält",349,IF(P18="nicht leer",352,IF(P18="enthält nicht",350,IF(P18="leer",351,0)))) &amp;" ,NULL ,GetDate() ,'scrc' ,GetDate() ,'scrc')")</f>
        <v/>
      </c>
      <c r="AK18" s="48" t="str">
        <f t="shared" si="5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" spans="1:37" x14ac:dyDescent="0.25">
      <c r="A19" s="37"/>
      <c r="B19" s="38"/>
      <c r="C19" s="54"/>
      <c r="D19" s="54"/>
      <c r="E19" s="40"/>
      <c r="F19" s="68"/>
      <c r="G19" s="68"/>
      <c r="H19" s="68"/>
      <c r="I19" s="54"/>
      <c r="J19" s="54"/>
      <c r="K19" s="54"/>
      <c r="L19" s="54"/>
      <c r="M19" s="66"/>
      <c r="N19" s="66"/>
      <c r="O19" s="66"/>
      <c r="P19" s="66"/>
      <c r="Q19" s="68"/>
      <c r="R19" s="66"/>
      <c r="S19" s="66"/>
      <c r="T19" s="65"/>
      <c r="U19" s="65"/>
      <c r="W19" s="42" t="e">
        <f>VLOOKUP($I19,'AnmeldeVSS-Attribute'!$A$2:$H$16,2,FALSE)</f>
        <v>#N/A</v>
      </c>
      <c r="X19" s="42" t="e">
        <f>VLOOKUP($I19,'AnmeldeVSS-Attribute'!$A$2:$H$16,3,FALSE)</f>
        <v>#N/A</v>
      </c>
      <c r="Y19" s="42" t="e">
        <f>VLOOKUP($I19,'AnmeldeVSS-Attribute'!$A$2:$H$16,4,FALSE)</f>
        <v>#N/A</v>
      </c>
      <c r="Z19" s="42" t="e">
        <f>VLOOKUP($I19,'AnmeldeVSS-Attribute'!$A$2:$H$16,5,FALSE)</f>
        <v>#N/A</v>
      </c>
      <c r="AA19" s="42" t="e">
        <f>VLOOKUP($I19,'AnmeldeVSS-Attribute'!$A$2:$H$16,6,FALSE)</f>
        <v>#N/A</v>
      </c>
      <c r="AB19" s="42" t="e">
        <f>VLOOKUP($I19,'AnmeldeVSS-Attribute'!$A$2:$H$16,7,FALSE)</f>
        <v>#N/A</v>
      </c>
      <c r="AC19" s="42" t="e">
        <f>IF(I19="Geldbetrag",J19,(IF(T19="",VLOOKUP($I19,'AnmeldeVSS-Attribute'!$A$2:$H$16,8,FALSE),T19)))</f>
        <v>#N/A</v>
      </c>
      <c r="AD19" s="42">
        <f>IF(S19="",0,VLOOKUP(S19,'AnmeldeVSS-Attribute'!$A$20:$B$26,2,FALSE))</f>
        <v>0</v>
      </c>
      <c r="AE19" s="42" t="e">
        <f t="shared" si="0"/>
        <v>#N/A</v>
      </c>
      <c r="AF19" s="42" t="str">
        <f t="shared" si="1"/>
        <v/>
      </c>
      <c r="AG19" s="42" t="str">
        <f t="shared" si="2"/>
        <v/>
      </c>
      <c r="AH19" s="47" t="str">
        <f t="shared" si="3"/>
        <v/>
      </c>
      <c r="AI19" s="47" t="str">
        <f t="shared" si="4"/>
        <v/>
      </c>
      <c r="AJ19" s="42" t="str">
        <f>IF(O19="",(IF(P19="Ansicht","INSERT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 &amp;" ,NULL ,'',349,"&amp; VLOOKUP(Q19,'AnmeldeVSS-Attribute'!$A$43:$B$50,2,FALSE)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 &amp;" ,"&amp; O19 &amp;" ,"&amp; IF(Q19="ja","'1'",IF(Q19="nein","'0'","'"&amp;Q19&amp;"'")) &amp;","&amp;IF(P19="enthält",349,IF(P19="nicht leer",352,IF(P19="enthält nicht",350,IF(P19="leer",351,0)))) &amp;" ,NULL ,GetDate() ,'scrc' ,GetDate() ,'scrc')")</f>
        <v/>
      </c>
      <c r="AK19" s="48" t="str">
        <f>CONCATENATE("update tblAnmeldeVSS set AnmeldeVSSOTUseLegacyRowSource = 1, AnmeldeVssOTUseLegacyValueCalculation = 1, AnmeldeVSSRowSource='","Select ''",SUBSTITUTE(J19,",","'' union select ''"),"''' where IDAnmeldeVSS ="&amp;B19&amp; " and IDAnlass="&amp;IDAnlass)</f>
        <v>update tblAnmeldeVSS set AnmeldeVSSOTUseLegacyRowSource = 1, AnmeldeVssOTUseLegacyValueCalculation = 1, AnmeldeVSSRowSource='Select ''''' where IDAnmeldeVSS = and IDAnlass=</v>
      </c>
    </row>
    <row r="20" spans="1:37" x14ac:dyDescent="0.25">
      <c r="A20" s="59"/>
      <c r="B20" s="23"/>
      <c r="C20" s="54"/>
      <c r="D20" s="54"/>
      <c r="E20" s="40"/>
      <c r="F20" s="68"/>
      <c r="G20" s="68"/>
      <c r="H20" s="68"/>
      <c r="I20" s="54"/>
      <c r="J20" s="23"/>
      <c r="K20" s="23"/>
      <c r="L20" s="23"/>
      <c r="M20" s="66"/>
      <c r="N20" s="66"/>
      <c r="O20" s="66"/>
      <c r="P20" s="66"/>
      <c r="Q20" s="68"/>
      <c r="R20" s="66"/>
      <c r="S20" s="66"/>
      <c r="T20" s="65"/>
      <c r="U20" s="65"/>
      <c r="W20" s="42" t="e">
        <f>VLOOKUP($I20,'AnmeldeVSS-Attribute'!$A$2:$H$16,2,FALSE)</f>
        <v>#N/A</v>
      </c>
      <c r="X20" s="42" t="e">
        <f>VLOOKUP($I20,'AnmeldeVSS-Attribute'!$A$2:$H$16,3,FALSE)</f>
        <v>#N/A</v>
      </c>
      <c r="Y20" s="42" t="e">
        <f>VLOOKUP($I20,'AnmeldeVSS-Attribute'!$A$2:$H$16,4,FALSE)</f>
        <v>#N/A</v>
      </c>
      <c r="Z20" s="42" t="e">
        <f>VLOOKUP($I20,'AnmeldeVSS-Attribute'!$A$2:$H$16,5,FALSE)</f>
        <v>#N/A</v>
      </c>
      <c r="AA20" s="42" t="e">
        <f>VLOOKUP($I20,'AnmeldeVSS-Attribute'!$A$2:$H$16,6,FALSE)</f>
        <v>#N/A</v>
      </c>
      <c r="AB20" s="42" t="e">
        <f>VLOOKUP($I20,'AnmeldeVSS-Attribute'!$A$2:$H$16,7,FALSE)</f>
        <v>#N/A</v>
      </c>
      <c r="AC20" s="42" t="e">
        <f>IF(I20="Geldbetrag",J20,(IF(T20="",VLOOKUP($I20,'AnmeldeVSS-Attribute'!$A$2:$H$16,8,FALSE),T20)))</f>
        <v>#N/A</v>
      </c>
      <c r="AD20" s="42">
        <f>IF(S20="",0,VLOOKUP(S20,'AnmeldeVSS-Attribute'!$A$20:$B$26,2,FALSE))</f>
        <v>0</v>
      </c>
      <c r="AE20" s="42" t="e">
        <f t="shared" si="0"/>
        <v>#N/A</v>
      </c>
      <c r="AF20" s="42" t="str">
        <f t="shared" si="1"/>
        <v/>
      </c>
      <c r="AG20" s="42" t="str">
        <f t="shared" si="2"/>
        <v/>
      </c>
      <c r="AH20" s="47" t="str">
        <f t="shared" si="3"/>
        <v/>
      </c>
      <c r="AI20" s="47" t="str">
        <f t="shared" si="4"/>
        <v/>
      </c>
      <c r="AJ20" s="42" t="str">
        <f>IF(O20="",(IF(P20="Ansicht","INSERT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 &amp;" ,NULL ,'',349,"&amp; VLOOKUP(Q20,'AnmeldeVSS-Attribute'!$A$43:$B$50,2,FALSE)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 &amp;" ,"&amp; O20 &amp;" ,"&amp; IF(Q20="ja","'1'",IF(Q20="nein","'0'","'"&amp;Q20&amp;"'")) &amp;","&amp;IF(P20="enthält",349,IF(P20="nicht leer",352,IF(P20="enthält nicht",350,IF(P20="leer",351,0)))) &amp;" ,NULL ,GetDate() ,'scrc' ,GetDate() ,'scrc')")</f>
        <v/>
      </c>
      <c r="AK20" s="48" t="str">
        <f t="shared" ref="AK20:AK83" si="6">CONCATENATE("update tblAnmeldeVSS set AnmeldeVSSOTUseLegacyRowSource = 1, AnmeldeVssOTUseLegacyValueCalculation = 1, AnmeldeVSSRowSource='","Select ''",SUBSTITUTE(J20,",","'' where @kontextidlanguage = 1 union select ''"),"'' where @kontextidlanguage = 1 ","union select ''",SUBSTITUTE(K20,",","'' where @kontextidlanguage = 133 union select ''"),"'' where @kontextidlanguage = 133'"," where IDAnmeldeVSS ="&amp;B20&amp;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" spans="1:37" x14ac:dyDescent="0.25">
      <c r="A21" s="59"/>
      <c r="B21" s="29"/>
      <c r="C21" s="57"/>
      <c r="D21" s="57"/>
      <c r="E21" s="58"/>
      <c r="F21" s="68"/>
      <c r="G21" s="68"/>
      <c r="H21" s="68"/>
      <c r="I21" s="57"/>
      <c r="J21" s="62"/>
      <c r="K21" s="62"/>
      <c r="L21" s="62"/>
      <c r="M21" s="55"/>
      <c r="N21" s="55"/>
      <c r="O21" s="55"/>
      <c r="P21" s="55"/>
      <c r="Q21" s="56"/>
      <c r="R21" s="55"/>
      <c r="S21" s="66"/>
      <c r="T21" s="65"/>
      <c r="U21" s="65"/>
      <c r="W21" s="42" t="e">
        <f>VLOOKUP($I21,'AnmeldeVSS-Attribute'!$A$2:$H$16,2,FALSE)</f>
        <v>#N/A</v>
      </c>
      <c r="X21" s="42" t="e">
        <f>VLOOKUP($I21,'AnmeldeVSS-Attribute'!$A$2:$H$16,3,FALSE)</f>
        <v>#N/A</v>
      </c>
      <c r="Y21" s="42" t="e">
        <f>VLOOKUP($I21,'AnmeldeVSS-Attribute'!$A$2:$H$16,4,FALSE)</f>
        <v>#N/A</v>
      </c>
      <c r="Z21" s="42" t="e">
        <f>VLOOKUP($I21,'AnmeldeVSS-Attribute'!$A$2:$H$16,5,FALSE)</f>
        <v>#N/A</v>
      </c>
      <c r="AA21" s="42" t="e">
        <f>VLOOKUP($I21,'AnmeldeVSS-Attribute'!$A$2:$H$16,6,FALSE)</f>
        <v>#N/A</v>
      </c>
      <c r="AB21" s="42" t="e">
        <f>VLOOKUP($I21,'AnmeldeVSS-Attribute'!$A$2:$H$16,7,FALSE)</f>
        <v>#N/A</v>
      </c>
      <c r="AC21" s="42" t="e">
        <f>IF(I21="Geldbetrag",J21,(IF(T21="",VLOOKUP($I21,'AnmeldeVSS-Attribute'!$A$2:$H$16,8,FALSE),T21)))</f>
        <v>#N/A</v>
      </c>
      <c r="AD21" s="42">
        <f>IF(S21="",0,VLOOKUP(S21,'AnmeldeVSS-Attribute'!$A$20:$B$26,2,FALSE))</f>
        <v>0</v>
      </c>
      <c r="AE21" s="42" t="e">
        <f t="shared" si="0"/>
        <v>#N/A</v>
      </c>
      <c r="AF21" s="42" t="str">
        <f t="shared" si="1"/>
        <v/>
      </c>
      <c r="AG21" s="42" t="str">
        <f t="shared" si="2"/>
        <v/>
      </c>
      <c r="AH21" s="47" t="str">
        <f t="shared" si="3"/>
        <v/>
      </c>
      <c r="AI21" s="47" t="str">
        <f t="shared" si="4"/>
        <v/>
      </c>
      <c r="AJ21" s="42" t="str">
        <f>IF(O21="",(IF(P21="Ansicht","INSERT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 &amp;" ,NULL ,'',349,"&amp; VLOOKUP(Q21,'AnmeldeVSS-Attribute'!$A$43:$B$50,2,FALSE)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 &amp;" ,"&amp; O21 &amp;" ,"&amp; IF(Q21="ja","'1'",IF(Q21="nein","'0'","'"&amp;Q21&amp;"'")) &amp;","&amp;IF(P21="enthält",349,IF(P21="nicht leer",352,IF(P21="enthält nicht",350,IF(P21="leer",351,0)))) &amp;" ,NULL ,GetDate() ,'scrc' ,GetDate() ,'scrc')")</f>
        <v/>
      </c>
      <c r="AK2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" spans="1:37" x14ac:dyDescent="0.25">
      <c r="A22" s="59"/>
      <c r="B22" s="63"/>
      <c r="C22" s="64"/>
      <c r="D22" s="64"/>
      <c r="E22" s="63"/>
      <c r="F22" s="64"/>
      <c r="G22" s="64"/>
      <c r="H22" s="64"/>
      <c r="I22" s="64"/>
      <c r="J22" s="64"/>
      <c r="K22" s="64"/>
      <c r="L22" s="64"/>
      <c r="M22" s="63"/>
      <c r="N22" s="63"/>
      <c r="O22" s="63"/>
      <c r="P22" s="63"/>
      <c r="Q22" s="64"/>
      <c r="R22" s="63"/>
      <c r="S22" s="66"/>
      <c r="T22" s="65"/>
      <c r="U22" s="65"/>
      <c r="W22" s="42" t="e">
        <f>VLOOKUP($I22,'AnmeldeVSS-Attribute'!$A$2:$H$16,2,FALSE)</f>
        <v>#N/A</v>
      </c>
      <c r="X22" s="42" t="e">
        <f>VLOOKUP($I22,'AnmeldeVSS-Attribute'!$A$2:$H$16,3,FALSE)</f>
        <v>#N/A</v>
      </c>
      <c r="Y22" s="42" t="e">
        <f>VLOOKUP($I22,'AnmeldeVSS-Attribute'!$A$2:$H$16,4,FALSE)</f>
        <v>#N/A</v>
      </c>
      <c r="Z22" s="42" t="e">
        <f>VLOOKUP($I22,'AnmeldeVSS-Attribute'!$A$2:$H$16,5,FALSE)</f>
        <v>#N/A</v>
      </c>
      <c r="AA22" s="42" t="e">
        <f>VLOOKUP($I22,'AnmeldeVSS-Attribute'!$A$2:$H$16,6,FALSE)</f>
        <v>#N/A</v>
      </c>
      <c r="AB22" s="42" t="e">
        <f>VLOOKUP($I22,'AnmeldeVSS-Attribute'!$A$2:$H$16,7,FALSE)</f>
        <v>#N/A</v>
      </c>
      <c r="AC22" s="42" t="e">
        <f>IF(I22="Geldbetrag",J22,(IF(T22="",VLOOKUP($I22,'AnmeldeVSS-Attribute'!$A$2:$H$16,8,FALSE),T22)))</f>
        <v>#N/A</v>
      </c>
      <c r="AD22" s="42">
        <f>IF(S22="",0,VLOOKUP(S22,'AnmeldeVSS-Attribute'!$A$20:$B$26,2,FALSE))</f>
        <v>0</v>
      </c>
      <c r="AE22" s="42" t="e">
        <f t="shared" si="0"/>
        <v>#N/A</v>
      </c>
      <c r="AF22" s="42" t="str">
        <f t="shared" si="1"/>
        <v/>
      </c>
      <c r="AG22" s="42" t="str">
        <f t="shared" si="2"/>
        <v/>
      </c>
      <c r="AH22" s="47" t="str">
        <f t="shared" si="3"/>
        <v/>
      </c>
      <c r="AI22" s="47" t="str">
        <f t="shared" si="4"/>
        <v/>
      </c>
      <c r="AJ22" s="42" t="str">
        <f>IF(O22="",(IF(P22="Ansicht","INSERT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 &amp;" ,NULL ,'',349,"&amp; VLOOKUP(Q22,'AnmeldeVSS-Attribute'!$A$43:$B$50,2,FALSE)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 &amp;" ,"&amp; O22 &amp;" ,"&amp; IF(Q22="ja","'1'",IF(Q22="nein","'0'","'"&amp;Q22&amp;"'")) &amp;","&amp;IF(P22="enthält",349,IF(P22="nicht leer",352,IF(P22="enthält nicht",350,IF(P22="leer",351,0)))) &amp;" ,NULL ,GetDate() ,'scrc' ,GetDate() ,'scrc')")</f>
        <v/>
      </c>
      <c r="AK2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" spans="1:37" x14ac:dyDescent="0.25">
      <c r="A23" s="59"/>
      <c r="B23" s="63"/>
      <c r="C23" s="64"/>
      <c r="D23" s="64"/>
      <c r="E23" s="63"/>
      <c r="F23" s="64"/>
      <c r="G23" s="64"/>
      <c r="H23" s="64"/>
      <c r="I23" s="64"/>
      <c r="J23" s="64"/>
      <c r="K23" s="64"/>
      <c r="L23" s="64"/>
      <c r="M23" s="63"/>
      <c r="N23" s="63"/>
      <c r="O23" s="63"/>
      <c r="P23" s="63"/>
      <c r="Q23" s="64"/>
      <c r="R23" s="63"/>
      <c r="S23" s="66"/>
      <c r="T23" s="65"/>
      <c r="U23" s="65"/>
      <c r="W23" s="42" t="e">
        <f>VLOOKUP($I23,'AnmeldeVSS-Attribute'!$A$2:$H$16,2,FALSE)</f>
        <v>#N/A</v>
      </c>
      <c r="X23" s="42" t="e">
        <f>VLOOKUP($I23,'AnmeldeVSS-Attribute'!$A$2:$H$16,3,FALSE)</f>
        <v>#N/A</v>
      </c>
      <c r="Y23" s="42" t="e">
        <f>VLOOKUP($I23,'AnmeldeVSS-Attribute'!$A$2:$H$16,4,FALSE)</f>
        <v>#N/A</v>
      </c>
      <c r="Z23" s="42" t="e">
        <f>VLOOKUP($I23,'AnmeldeVSS-Attribute'!$A$2:$H$16,5,FALSE)</f>
        <v>#N/A</v>
      </c>
      <c r="AA23" s="42" t="e">
        <f>VLOOKUP($I23,'AnmeldeVSS-Attribute'!$A$2:$H$16,6,FALSE)</f>
        <v>#N/A</v>
      </c>
      <c r="AB23" s="42" t="e">
        <f>VLOOKUP($I23,'AnmeldeVSS-Attribute'!$A$2:$H$16,7,FALSE)</f>
        <v>#N/A</v>
      </c>
      <c r="AC23" s="42" t="e">
        <f>IF(I23="Geldbetrag",J23,(IF(T23="",VLOOKUP($I23,'AnmeldeVSS-Attribute'!$A$2:$H$16,8,FALSE),T23)))</f>
        <v>#N/A</v>
      </c>
      <c r="AD23" s="42">
        <f>IF(S23="",0,VLOOKUP(S23,'AnmeldeVSS-Attribute'!$A$20:$B$26,2,FALSE))</f>
        <v>0</v>
      </c>
      <c r="AE23" s="42" t="e">
        <f t="shared" si="0"/>
        <v>#N/A</v>
      </c>
      <c r="AF23" s="42" t="str">
        <f t="shared" si="1"/>
        <v/>
      </c>
      <c r="AG23" s="42" t="str">
        <f t="shared" si="2"/>
        <v/>
      </c>
      <c r="AH23" s="47" t="str">
        <f t="shared" si="3"/>
        <v/>
      </c>
      <c r="AI23" s="47" t="str">
        <f t="shared" si="4"/>
        <v/>
      </c>
      <c r="AJ23" s="42" t="str">
        <f>IF(O23="",(IF(P23="Ansicht","INSERT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 &amp;" ,NULL ,'',349,"&amp; VLOOKUP(Q23,'AnmeldeVSS-Attribute'!$A$43:$B$50,2,FALSE)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 &amp;" ,"&amp; O23 &amp;" ,"&amp; IF(Q23="ja","'1'",IF(Q23="nein","'0'","'"&amp;Q23&amp;"'")) &amp;","&amp;IF(P23="enthält",349,IF(P23="nicht leer",352,IF(P23="enthält nicht",350,IF(P23="leer",351,0)))) &amp;" ,NULL ,GetDate() ,'scrc' ,GetDate() ,'scrc')")</f>
        <v/>
      </c>
      <c r="AK2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" spans="1:37" x14ac:dyDescent="0.25">
      <c r="A24" s="59"/>
      <c r="B24" s="63"/>
      <c r="C24" s="64"/>
      <c r="D24" s="64"/>
      <c r="E24" s="63"/>
      <c r="F24" s="64"/>
      <c r="G24" s="64"/>
      <c r="H24" s="64"/>
      <c r="I24" s="64"/>
      <c r="J24" s="64"/>
      <c r="K24" s="64"/>
      <c r="L24" s="64"/>
      <c r="M24" s="63"/>
      <c r="N24" s="63"/>
      <c r="O24" s="63"/>
      <c r="P24" s="63"/>
      <c r="Q24" s="64"/>
      <c r="R24" s="63"/>
      <c r="S24" s="66"/>
      <c r="T24" s="65"/>
      <c r="U24" s="65"/>
      <c r="W24" s="42" t="e">
        <f>VLOOKUP($I24,'AnmeldeVSS-Attribute'!$A$2:$H$16,2,FALSE)</f>
        <v>#N/A</v>
      </c>
      <c r="X24" s="42" t="e">
        <f>VLOOKUP($I24,'AnmeldeVSS-Attribute'!$A$2:$H$16,3,FALSE)</f>
        <v>#N/A</v>
      </c>
      <c r="Y24" s="42" t="e">
        <f>VLOOKUP($I24,'AnmeldeVSS-Attribute'!$A$2:$H$16,4,FALSE)</f>
        <v>#N/A</v>
      </c>
      <c r="Z24" s="42" t="e">
        <f>VLOOKUP($I24,'AnmeldeVSS-Attribute'!$A$2:$H$16,5,FALSE)</f>
        <v>#N/A</v>
      </c>
      <c r="AA24" s="42" t="e">
        <f>VLOOKUP($I24,'AnmeldeVSS-Attribute'!$A$2:$H$16,6,FALSE)</f>
        <v>#N/A</v>
      </c>
      <c r="AB24" s="42" t="e">
        <f>VLOOKUP($I24,'AnmeldeVSS-Attribute'!$A$2:$H$16,7,FALSE)</f>
        <v>#N/A</v>
      </c>
      <c r="AC24" s="42" t="e">
        <f>IF(I24="Geldbetrag",J24,(IF(T24="",VLOOKUP($I24,'AnmeldeVSS-Attribute'!$A$2:$H$16,8,FALSE),T24)))</f>
        <v>#N/A</v>
      </c>
      <c r="AD24" s="42">
        <f>IF(S24="",0,VLOOKUP(S24,'AnmeldeVSS-Attribute'!$A$20:$B$26,2,FALSE))</f>
        <v>0</v>
      </c>
      <c r="AE24" s="42" t="e">
        <f t="shared" si="0"/>
        <v>#N/A</v>
      </c>
      <c r="AF24" s="42" t="str">
        <f t="shared" si="1"/>
        <v/>
      </c>
      <c r="AG24" s="42" t="str">
        <f t="shared" si="2"/>
        <v/>
      </c>
      <c r="AH24" s="47" t="str">
        <f t="shared" si="3"/>
        <v/>
      </c>
      <c r="AI24" s="47" t="str">
        <f t="shared" si="4"/>
        <v/>
      </c>
      <c r="AJ24" s="42" t="str">
        <f>IF(O24="",(IF(P24="Ansicht","INSERT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 &amp;" ,NULL ,'',349,"&amp; VLOOKUP(Q24,'AnmeldeVSS-Attribute'!$A$43:$B$50,2,FALSE)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 &amp;" ,"&amp; O24 &amp;" ,"&amp; IF(Q24="ja","'1'",IF(Q24="nein","'0'","'"&amp;Q24&amp;"'")) &amp;","&amp;IF(P24="enthält",349,IF(P24="nicht leer",352,IF(P24="enthält nicht",350,IF(P24="leer",351,0)))) &amp;" ,NULL ,GetDate() ,'scrc' ,GetDate() ,'scrc')")</f>
        <v/>
      </c>
      <c r="AK2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" spans="1:37" x14ac:dyDescent="0.25">
      <c r="A25" s="59"/>
      <c r="B25" s="63"/>
      <c r="C25" s="64"/>
      <c r="D25" s="64"/>
      <c r="E25" s="63"/>
      <c r="F25" s="64"/>
      <c r="G25" s="64"/>
      <c r="H25" s="64"/>
      <c r="I25" s="64"/>
      <c r="J25" s="64"/>
      <c r="K25" s="64"/>
      <c r="L25" s="64"/>
      <c r="M25" s="63"/>
      <c r="N25" s="63"/>
      <c r="O25" s="63"/>
      <c r="P25" s="63"/>
      <c r="Q25" s="64"/>
      <c r="R25" s="63"/>
      <c r="S25" s="66"/>
      <c r="T25" s="65"/>
      <c r="U25" s="65"/>
      <c r="W25" s="42" t="e">
        <f>VLOOKUP($I25,'AnmeldeVSS-Attribute'!$A$2:$H$16,2,FALSE)</f>
        <v>#N/A</v>
      </c>
      <c r="X25" s="42" t="e">
        <f>VLOOKUP($I25,'AnmeldeVSS-Attribute'!$A$2:$H$16,3,FALSE)</f>
        <v>#N/A</v>
      </c>
      <c r="Y25" s="42" t="e">
        <f>VLOOKUP($I25,'AnmeldeVSS-Attribute'!$A$2:$H$16,4,FALSE)</f>
        <v>#N/A</v>
      </c>
      <c r="Z25" s="42" t="e">
        <f>VLOOKUP($I25,'AnmeldeVSS-Attribute'!$A$2:$H$16,5,FALSE)</f>
        <v>#N/A</v>
      </c>
      <c r="AA25" s="42" t="e">
        <f>VLOOKUP($I25,'AnmeldeVSS-Attribute'!$A$2:$H$16,6,FALSE)</f>
        <v>#N/A</v>
      </c>
      <c r="AB25" s="42" t="e">
        <f>VLOOKUP($I25,'AnmeldeVSS-Attribute'!$A$2:$H$16,7,FALSE)</f>
        <v>#N/A</v>
      </c>
      <c r="AC25" s="42" t="e">
        <f>IF(I25="Geldbetrag",J25,(IF(T25="",VLOOKUP($I25,'AnmeldeVSS-Attribute'!$A$2:$H$16,8,FALSE),T25)))</f>
        <v>#N/A</v>
      </c>
      <c r="AD25" s="42">
        <f>IF(S25="",0,VLOOKUP(S25,'AnmeldeVSS-Attribute'!$A$20:$B$26,2,FALSE))</f>
        <v>0</v>
      </c>
      <c r="AE25" s="42" t="e">
        <f t="shared" si="0"/>
        <v>#N/A</v>
      </c>
      <c r="AF25" s="42" t="str">
        <f t="shared" si="1"/>
        <v/>
      </c>
      <c r="AG25" s="42" t="str">
        <f t="shared" si="2"/>
        <v/>
      </c>
      <c r="AH25" s="47" t="str">
        <f t="shared" si="3"/>
        <v/>
      </c>
      <c r="AI25" s="47" t="str">
        <f t="shared" si="4"/>
        <v/>
      </c>
      <c r="AJ25" s="42" t="str">
        <f>IF(O25="",(IF(P25="Ansicht","INSERT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 &amp;" ,NULL ,'',349,"&amp; VLOOKUP(Q25,'AnmeldeVSS-Attribute'!$A$43:$B$50,2,FALSE)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 &amp;" ,"&amp; O25 &amp;" ,"&amp; IF(Q25="ja","'1'",IF(Q25="nein","'0'","'"&amp;Q25&amp;"'")) &amp;","&amp;IF(P25="enthält",349,IF(P25="nicht leer",352,IF(P25="enthält nicht",350,IF(P25="leer",351,0)))) &amp;" ,NULL ,GetDate() ,'scrc' ,GetDate() ,'scrc')")</f>
        <v/>
      </c>
      <c r="AK2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" spans="1:37" x14ac:dyDescent="0.25">
      <c r="A26" s="59"/>
      <c r="B26" s="63"/>
      <c r="C26" s="64"/>
      <c r="D26" s="64"/>
      <c r="E26" s="63"/>
      <c r="F26" s="64"/>
      <c r="G26" s="64"/>
      <c r="H26" s="64"/>
      <c r="I26" s="64"/>
      <c r="J26" s="64"/>
      <c r="K26" s="64"/>
      <c r="L26" s="64"/>
      <c r="M26" s="63"/>
      <c r="N26" s="63"/>
      <c r="O26" s="63"/>
      <c r="P26" s="63"/>
      <c r="Q26" s="64"/>
      <c r="R26" s="63"/>
      <c r="S26" s="66"/>
      <c r="T26" s="65"/>
      <c r="U26" s="65"/>
      <c r="W26" s="42" t="e">
        <f>VLOOKUP($I26,'AnmeldeVSS-Attribute'!$A$2:$H$16,2,FALSE)</f>
        <v>#N/A</v>
      </c>
      <c r="X26" s="42" t="e">
        <f>VLOOKUP($I26,'AnmeldeVSS-Attribute'!$A$2:$H$16,3,FALSE)</f>
        <v>#N/A</v>
      </c>
      <c r="Y26" s="42" t="e">
        <f>VLOOKUP($I26,'AnmeldeVSS-Attribute'!$A$2:$H$16,4,FALSE)</f>
        <v>#N/A</v>
      </c>
      <c r="Z26" s="42" t="e">
        <f>VLOOKUP($I26,'AnmeldeVSS-Attribute'!$A$2:$H$16,5,FALSE)</f>
        <v>#N/A</v>
      </c>
      <c r="AA26" s="42" t="e">
        <f>VLOOKUP($I26,'AnmeldeVSS-Attribute'!$A$2:$H$16,6,FALSE)</f>
        <v>#N/A</v>
      </c>
      <c r="AB26" s="42" t="e">
        <f>VLOOKUP($I26,'AnmeldeVSS-Attribute'!$A$2:$H$16,7,FALSE)</f>
        <v>#N/A</v>
      </c>
      <c r="AC26" s="42" t="e">
        <f>IF(I26="Geldbetrag",J26,(IF(T26="",VLOOKUP($I26,'AnmeldeVSS-Attribute'!$A$2:$H$16,8,FALSE),T26)))</f>
        <v>#N/A</v>
      </c>
      <c r="AD26" s="42">
        <f>IF(S26="",0,VLOOKUP(S26,'AnmeldeVSS-Attribute'!$A$20:$B$26,2,FALSE))</f>
        <v>0</v>
      </c>
      <c r="AE26" s="42" t="e">
        <f t="shared" si="0"/>
        <v>#N/A</v>
      </c>
      <c r="AF26" s="42" t="str">
        <f t="shared" si="1"/>
        <v/>
      </c>
      <c r="AG26" s="42" t="str">
        <f t="shared" si="2"/>
        <v/>
      </c>
      <c r="AH26" s="47" t="str">
        <f t="shared" si="3"/>
        <v/>
      </c>
      <c r="AI26" s="47" t="str">
        <f t="shared" si="4"/>
        <v/>
      </c>
      <c r="AJ26" s="42" t="str">
        <f>IF(O26="",(IF(P26="Ansicht","INSERT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 &amp;" ,NULL ,'',349,"&amp; VLOOKUP(Q26,'AnmeldeVSS-Attribute'!$A$43:$B$50,2,FALSE)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 &amp;" ,"&amp; O26 &amp;" ,"&amp; IF(Q26="ja","'1'",IF(Q26="nein","'0'","'"&amp;Q26&amp;"'")) &amp;","&amp;IF(P26="enthält",349,IF(P26="nicht leer",352,IF(P26="enthält nicht",350,IF(P26="leer",351,0)))) &amp;" ,NULL ,GetDate() ,'scrc' ,GetDate() ,'scrc')")</f>
        <v/>
      </c>
      <c r="AK2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" spans="1:37" x14ac:dyDescent="0.25">
      <c r="A27" s="59"/>
      <c r="B27" s="63"/>
      <c r="C27" s="64"/>
      <c r="D27" s="64"/>
      <c r="E27" s="63"/>
      <c r="F27" s="64"/>
      <c r="G27" s="64"/>
      <c r="H27" s="64"/>
      <c r="I27" s="64"/>
      <c r="J27" s="64"/>
      <c r="K27" s="64"/>
      <c r="L27" s="64"/>
      <c r="M27" s="63"/>
      <c r="N27" s="63"/>
      <c r="O27" s="63"/>
      <c r="P27" s="63"/>
      <c r="Q27" s="64"/>
      <c r="R27" s="63"/>
      <c r="S27" s="66"/>
      <c r="T27" s="65"/>
      <c r="U27" s="65"/>
      <c r="W27" s="42" t="e">
        <f>VLOOKUP($I27,'AnmeldeVSS-Attribute'!$A$2:$H$16,2,FALSE)</f>
        <v>#N/A</v>
      </c>
      <c r="X27" s="42" t="e">
        <f>VLOOKUP($I27,'AnmeldeVSS-Attribute'!$A$2:$H$16,3,FALSE)</f>
        <v>#N/A</v>
      </c>
      <c r="Y27" s="42" t="e">
        <f>VLOOKUP($I27,'AnmeldeVSS-Attribute'!$A$2:$H$16,4,FALSE)</f>
        <v>#N/A</v>
      </c>
      <c r="Z27" s="42" t="e">
        <f>VLOOKUP($I27,'AnmeldeVSS-Attribute'!$A$2:$H$16,5,FALSE)</f>
        <v>#N/A</v>
      </c>
      <c r="AA27" s="42" t="e">
        <f>VLOOKUP($I27,'AnmeldeVSS-Attribute'!$A$2:$H$16,6,FALSE)</f>
        <v>#N/A</v>
      </c>
      <c r="AB27" s="42" t="e">
        <f>VLOOKUP($I27,'AnmeldeVSS-Attribute'!$A$2:$H$16,7,FALSE)</f>
        <v>#N/A</v>
      </c>
      <c r="AC27" s="42" t="e">
        <f>IF(I27="Geldbetrag",J27,(IF(T27="",VLOOKUP($I27,'AnmeldeVSS-Attribute'!$A$2:$H$16,8,FALSE),T27)))</f>
        <v>#N/A</v>
      </c>
      <c r="AD27" s="42">
        <f>IF(S27="",0,VLOOKUP(S27,'AnmeldeVSS-Attribute'!$A$20:$B$26,2,FALSE))</f>
        <v>0</v>
      </c>
      <c r="AE27" s="42" t="e">
        <f t="shared" si="0"/>
        <v>#N/A</v>
      </c>
      <c r="AF27" s="42" t="str">
        <f t="shared" si="1"/>
        <v/>
      </c>
      <c r="AG27" s="42" t="str">
        <f t="shared" si="2"/>
        <v/>
      </c>
      <c r="AH27" s="47" t="str">
        <f t="shared" si="3"/>
        <v/>
      </c>
      <c r="AI27" s="47" t="str">
        <f t="shared" si="4"/>
        <v/>
      </c>
      <c r="AJ27" s="42" t="str">
        <f>IF(O27="",(IF(P27="Ansicht","INSERT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 &amp;" ,NULL ,'',349,"&amp; VLOOKUP(Q27,'AnmeldeVSS-Attribute'!$A$43:$B$50,2,FALSE)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 &amp;" ,"&amp; O27 &amp;" ,"&amp; IF(Q27="ja","'1'",IF(Q27="nein","'0'","'"&amp;Q27&amp;"'")) &amp;","&amp;IF(P27="enthält",349,IF(P27="nicht leer",352,IF(P27="enthält nicht",350,IF(P27="leer",351,0)))) &amp;" ,NULL ,GetDate() ,'scrc' ,GetDate() ,'scrc')")</f>
        <v/>
      </c>
      <c r="AK2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8" spans="1:37" x14ac:dyDescent="0.25">
      <c r="A28" s="70"/>
      <c r="B28" s="70"/>
      <c r="C28" s="71"/>
      <c r="D28" s="71"/>
      <c r="E28" s="70"/>
      <c r="F28" s="71"/>
      <c r="G28" s="71"/>
      <c r="H28" s="71"/>
      <c r="I28" s="71"/>
      <c r="J28" s="71"/>
      <c r="K28" s="71"/>
      <c r="L28" s="71"/>
      <c r="M28" s="70"/>
      <c r="N28" s="70"/>
      <c r="O28" s="70"/>
      <c r="P28" s="70"/>
      <c r="Q28" s="71"/>
      <c r="R28" s="70"/>
      <c r="S28" s="70"/>
      <c r="T28" s="65"/>
      <c r="U28" s="65"/>
      <c r="W28" s="42" t="e">
        <f>VLOOKUP($I28,'AnmeldeVSS-Attribute'!$A$2:$H$16,2,FALSE)</f>
        <v>#N/A</v>
      </c>
      <c r="X28" s="42" t="e">
        <f>VLOOKUP($I28,'AnmeldeVSS-Attribute'!$A$2:$H$16,3,FALSE)</f>
        <v>#N/A</v>
      </c>
      <c r="Y28" s="42" t="e">
        <f>VLOOKUP($I28,'AnmeldeVSS-Attribute'!$A$2:$H$16,4,FALSE)</f>
        <v>#N/A</v>
      </c>
      <c r="Z28" s="42" t="e">
        <f>VLOOKUP($I28,'AnmeldeVSS-Attribute'!$A$2:$H$16,5,FALSE)</f>
        <v>#N/A</v>
      </c>
      <c r="AA28" s="42" t="e">
        <f>VLOOKUP($I28,'AnmeldeVSS-Attribute'!$A$2:$H$16,6,FALSE)</f>
        <v>#N/A</v>
      </c>
      <c r="AB28" s="42" t="e">
        <f>VLOOKUP($I28,'AnmeldeVSS-Attribute'!$A$2:$H$16,7,FALSE)</f>
        <v>#N/A</v>
      </c>
      <c r="AC28" s="42" t="e">
        <f>IF(I28="Geldbetrag",J28,(IF(T28="",VLOOKUP($I28,'AnmeldeVSS-Attribute'!$A$2:$H$16,8,FALSE),T28)))</f>
        <v>#N/A</v>
      </c>
      <c r="AD28" s="42">
        <f>IF(S28="",0,VLOOKUP(S28,'AnmeldeVSS-Attribute'!$A$20:$B$26,2,FALSE))</f>
        <v>0</v>
      </c>
      <c r="AE28" s="42" t="e">
        <f t="shared" si="0"/>
        <v>#N/A</v>
      </c>
      <c r="AF28" s="42" t="str">
        <f t="shared" si="1"/>
        <v/>
      </c>
      <c r="AG28" s="42" t="str">
        <f t="shared" si="2"/>
        <v/>
      </c>
      <c r="AH28" s="47" t="str">
        <f t="shared" si="3"/>
        <v/>
      </c>
      <c r="AI28" s="47" t="str">
        <f t="shared" si="4"/>
        <v/>
      </c>
      <c r="AJ28" s="42" t="str">
        <f>IF(O28="",(IF(P28="Ansicht","INSERT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B28 &amp;" ,NULL ,'',349,"&amp; VLOOKUP(Q28,'AnmeldeVSS-Attribute'!$A$43:$B$50,2,FALSE)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B28 &amp;" ,"&amp; O28 &amp;" ,"&amp; IF(Q28="ja","'1'",IF(Q28="nein","'0'","'"&amp;Q28&amp;"'")) &amp;","&amp;IF(P28="enthält",349,IF(P28="nicht leer",352,IF(P28="enthält nicht",350,IF(P28="leer",351,0)))) &amp;" ,NULL ,GetDate() ,'scrc' ,GetDate() ,'scrc')")</f>
        <v/>
      </c>
      <c r="AK2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9" spans="1:37" x14ac:dyDescent="0.25">
      <c r="A29" s="66"/>
      <c r="B29" s="66"/>
      <c r="C29" s="68"/>
      <c r="D29" s="68"/>
      <c r="E29" s="66"/>
      <c r="F29" s="68"/>
      <c r="G29" s="68"/>
      <c r="H29" s="68"/>
      <c r="I29" s="68"/>
      <c r="J29" s="68"/>
      <c r="K29" s="68"/>
      <c r="L29" s="68"/>
      <c r="M29" s="66"/>
      <c r="N29" s="66"/>
      <c r="O29" s="66"/>
      <c r="P29" s="66"/>
      <c r="Q29" s="68"/>
      <c r="R29" s="66"/>
      <c r="S29" s="66"/>
      <c r="T29" s="65"/>
      <c r="U29" s="65"/>
      <c r="W29" s="42" t="e">
        <f>VLOOKUP($I29,'AnmeldeVSS-Attribute'!$A$2:$H$16,2,FALSE)</f>
        <v>#N/A</v>
      </c>
      <c r="X29" s="42" t="e">
        <f>VLOOKUP($I29,'AnmeldeVSS-Attribute'!$A$2:$H$16,3,FALSE)</f>
        <v>#N/A</v>
      </c>
      <c r="Y29" s="42" t="e">
        <f>VLOOKUP($I29,'AnmeldeVSS-Attribute'!$A$2:$H$16,4,FALSE)</f>
        <v>#N/A</v>
      </c>
      <c r="Z29" s="42" t="e">
        <f>VLOOKUP($I29,'AnmeldeVSS-Attribute'!$A$2:$H$16,5,FALSE)</f>
        <v>#N/A</v>
      </c>
      <c r="AA29" s="42" t="e">
        <f>VLOOKUP($I29,'AnmeldeVSS-Attribute'!$A$2:$H$16,6,FALSE)</f>
        <v>#N/A</v>
      </c>
      <c r="AB29" s="42" t="e">
        <f>VLOOKUP($I29,'AnmeldeVSS-Attribute'!$A$2:$H$16,7,FALSE)</f>
        <v>#N/A</v>
      </c>
      <c r="AC29" s="42" t="e">
        <f>IF(I29="Geldbetrag",J29,(IF(T29="",VLOOKUP($I29,'AnmeldeVSS-Attribute'!$A$2:$H$16,8,FALSE),T29)))</f>
        <v>#N/A</v>
      </c>
      <c r="AD29" s="42">
        <f>IF(S29="",0,VLOOKUP(S29,'AnmeldeVSS-Attribute'!$A$20:$B$26,2,FALSE))</f>
        <v>0</v>
      </c>
      <c r="AE29" s="42" t="e">
        <f t="shared" si="0"/>
        <v>#N/A</v>
      </c>
      <c r="AF29" s="42" t="str">
        <f t="shared" si="1"/>
        <v/>
      </c>
      <c r="AG29" s="42" t="str">
        <f t="shared" si="2"/>
        <v/>
      </c>
      <c r="AH29" s="47" t="str">
        <f t="shared" si="3"/>
        <v/>
      </c>
      <c r="AI29" s="47" t="str">
        <f t="shared" si="4"/>
        <v/>
      </c>
      <c r="AJ29" s="42" t="str">
        <f>IF(O29="",(IF(P29="Ansicht","INSERT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B29 &amp;" ,NULL ,'',349,"&amp; VLOOKUP(Q29,'AnmeldeVSS-Attribute'!$A$43:$B$50,2,FALSE)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B29 &amp;" ,"&amp; O29 &amp;" ,"&amp; IF(Q29="ja","'1'",IF(Q29="nein","'0'","'"&amp;Q29&amp;"'")) &amp;","&amp;IF(P29="enthält",349,IF(P29="nicht leer",352,IF(P29="enthält nicht",350,IF(P29="leer",351,0)))) &amp;" ,NULL ,GetDate() ,'scrc' ,GetDate() ,'scrc')")</f>
        <v/>
      </c>
      <c r="AK29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0" spans="1:37" x14ac:dyDescent="0.25">
      <c r="A30" s="66"/>
      <c r="B30" s="66"/>
      <c r="C30" s="68"/>
      <c r="D30" s="68"/>
      <c r="E30" s="66"/>
      <c r="F30" s="68"/>
      <c r="G30" s="68"/>
      <c r="H30" s="68"/>
      <c r="I30" s="68"/>
      <c r="J30" s="68"/>
      <c r="K30" s="68"/>
      <c r="L30" s="68"/>
      <c r="M30" s="66"/>
      <c r="N30" s="66"/>
      <c r="O30" s="66"/>
      <c r="P30" s="66"/>
      <c r="Q30" s="68"/>
      <c r="R30" s="66"/>
      <c r="S30" s="66"/>
      <c r="T30" s="65"/>
      <c r="U30" s="65"/>
      <c r="W30" s="42" t="e">
        <f>VLOOKUP($I30,'AnmeldeVSS-Attribute'!$A$2:$H$16,2,FALSE)</f>
        <v>#N/A</v>
      </c>
      <c r="X30" s="42" t="e">
        <f>VLOOKUP($I30,'AnmeldeVSS-Attribute'!$A$2:$H$16,3,FALSE)</f>
        <v>#N/A</v>
      </c>
      <c r="Y30" s="42" t="e">
        <f>VLOOKUP($I30,'AnmeldeVSS-Attribute'!$A$2:$H$16,4,FALSE)</f>
        <v>#N/A</v>
      </c>
      <c r="Z30" s="42" t="e">
        <f>VLOOKUP($I30,'AnmeldeVSS-Attribute'!$A$2:$H$16,5,FALSE)</f>
        <v>#N/A</v>
      </c>
      <c r="AA30" s="42" t="e">
        <f>VLOOKUP($I30,'AnmeldeVSS-Attribute'!$A$2:$H$16,6,FALSE)</f>
        <v>#N/A</v>
      </c>
      <c r="AB30" s="42" t="e">
        <f>VLOOKUP($I30,'AnmeldeVSS-Attribute'!$A$2:$H$16,7,FALSE)</f>
        <v>#N/A</v>
      </c>
      <c r="AC30" s="42" t="e">
        <f>IF(I30="Geldbetrag",J30,(IF(T30="",VLOOKUP($I30,'AnmeldeVSS-Attribute'!$A$2:$H$16,8,FALSE),T30)))</f>
        <v>#N/A</v>
      </c>
      <c r="AD30" s="42">
        <f>IF(S30="",0,VLOOKUP(S30,'AnmeldeVSS-Attribute'!$A$20:$B$26,2,FALSE))</f>
        <v>0</v>
      </c>
      <c r="AE30" s="42" t="e">
        <f t="shared" si="0"/>
        <v>#N/A</v>
      </c>
      <c r="AF30" s="42" t="str">
        <f t="shared" si="1"/>
        <v/>
      </c>
      <c r="AG30" s="42" t="str">
        <f t="shared" si="2"/>
        <v/>
      </c>
      <c r="AH30" s="47" t="str">
        <f t="shared" si="3"/>
        <v/>
      </c>
      <c r="AI30" s="47" t="str">
        <f t="shared" si="4"/>
        <v/>
      </c>
      <c r="AJ30" s="42" t="str">
        <f>IF(O30="",(IF(P30="Ansicht","INSERT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B30 &amp;" ,NULL ,'',349,"&amp; VLOOKUP(Q30,'AnmeldeVSS-Attribute'!$A$43:$B$50,2,FALSE)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B30 &amp;" ,"&amp; O30 &amp;" ,"&amp; IF(Q30="ja","'1'",IF(Q30="nein","'0'","'"&amp;Q30&amp;"'")) &amp;","&amp;IF(P30="enthält",349,IF(P30="nicht leer",352,IF(P30="enthält nicht",350,IF(P30="leer",351,0)))) &amp;" ,NULL ,GetDate() ,'scrc' ,GetDate() ,'scrc')")</f>
        <v/>
      </c>
      <c r="AK3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1" spans="1:37" ht="47.45" customHeight="1" x14ac:dyDescent="0.25">
      <c r="A31" s="63"/>
      <c r="B31" s="63"/>
      <c r="C31" s="64"/>
      <c r="D31" s="64"/>
      <c r="E31" s="63"/>
      <c r="F31" s="64"/>
      <c r="G31" s="64"/>
      <c r="H31" s="64"/>
      <c r="I31" s="64"/>
      <c r="J31" s="64"/>
      <c r="K31" s="64"/>
      <c r="L31" s="64"/>
      <c r="M31" s="63"/>
      <c r="N31" s="63"/>
      <c r="O31" s="63"/>
      <c r="P31" s="63"/>
      <c r="Q31" s="64"/>
      <c r="R31" s="63"/>
      <c r="S31" s="63"/>
      <c r="T31" s="65"/>
      <c r="U31" s="65"/>
      <c r="W31" s="42" t="e">
        <f>VLOOKUP($I31,'AnmeldeVSS-Attribute'!$A$2:$H$16,2,FALSE)</f>
        <v>#N/A</v>
      </c>
      <c r="X31" s="42" t="e">
        <f>VLOOKUP($I31,'AnmeldeVSS-Attribute'!$A$2:$H$16,3,FALSE)</f>
        <v>#N/A</v>
      </c>
      <c r="Y31" s="42" t="e">
        <f>VLOOKUP($I31,'AnmeldeVSS-Attribute'!$A$2:$H$16,4,FALSE)</f>
        <v>#N/A</v>
      </c>
      <c r="Z31" s="42" t="e">
        <f>VLOOKUP($I31,'AnmeldeVSS-Attribute'!$A$2:$H$16,5,FALSE)</f>
        <v>#N/A</v>
      </c>
      <c r="AA31" s="42" t="e">
        <f>VLOOKUP($I31,'AnmeldeVSS-Attribute'!$A$2:$H$16,6,FALSE)</f>
        <v>#N/A</v>
      </c>
      <c r="AB31" s="42" t="e">
        <f>VLOOKUP($I31,'AnmeldeVSS-Attribute'!$A$2:$H$16,7,FALSE)</f>
        <v>#N/A</v>
      </c>
      <c r="AC31" s="42" t="e">
        <f>IF(I31="Geldbetrag",J31,(IF(T31="",VLOOKUP($I31,'AnmeldeVSS-Attribute'!$A$2:$H$16,8,FALSE),T31)))</f>
        <v>#N/A</v>
      </c>
      <c r="AD31" s="42">
        <f>IF(S31="",0,VLOOKUP(S31,'AnmeldeVSS-Attribute'!$A$20:$B$26,2,FALSE))</f>
        <v>0</v>
      </c>
      <c r="AE31" s="42" t="e">
        <f t="shared" si="0"/>
        <v>#N/A</v>
      </c>
      <c r="AF31" s="42" t="str">
        <f t="shared" si="1"/>
        <v/>
      </c>
      <c r="AG31" s="42" t="str">
        <f t="shared" si="2"/>
        <v/>
      </c>
      <c r="AH31" s="47" t="str">
        <f t="shared" si="3"/>
        <v/>
      </c>
      <c r="AI31" s="47" t="str">
        <f t="shared" si="4"/>
        <v/>
      </c>
      <c r="AJ31" s="42" t="str">
        <f>IF(O31="",(IF(P31="Ansicht","INSERT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B31 &amp;" ,NULL ,'',349,"&amp; VLOOKUP(Q31,'AnmeldeVSS-Attribute'!$A$43:$B$50,2,FALSE)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B31 &amp;" ,"&amp; O31 &amp;" ,"&amp; IF(Q31="ja","'1'",IF(Q31="nein","'0'","'"&amp;Q31&amp;"'")) &amp;","&amp;IF(P31="enthält",349,IF(P31="nicht leer",352,IF(P31="enthält nicht",350,IF(P31="leer",351,0)))) &amp;" ,NULL ,GetDate() ,'scrc' ,GetDate() ,'scrc')")</f>
        <v/>
      </c>
      <c r="AK3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2" spans="1:37" x14ac:dyDescent="0.25">
      <c r="A32" s="66"/>
      <c r="B32" s="66"/>
      <c r="C32" s="68"/>
      <c r="D32" s="68"/>
      <c r="E32" s="66"/>
      <c r="F32" s="68"/>
      <c r="G32" s="68"/>
      <c r="H32" s="68"/>
      <c r="I32" s="68"/>
      <c r="J32" s="68"/>
      <c r="K32" s="68"/>
      <c r="L32" s="68"/>
      <c r="M32" s="66"/>
      <c r="N32" s="66"/>
      <c r="O32" s="66"/>
      <c r="P32" s="66"/>
      <c r="Q32" s="68"/>
      <c r="R32" s="66"/>
      <c r="S32" s="66"/>
      <c r="T32" s="65"/>
      <c r="U32" s="65"/>
      <c r="W32" s="42" t="e">
        <f>VLOOKUP($I32,'AnmeldeVSS-Attribute'!$A$2:$H$16,2,FALSE)</f>
        <v>#N/A</v>
      </c>
      <c r="X32" s="42" t="e">
        <f>VLOOKUP($I32,'AnmeldeVSS-Attribute'!$A$2:$H$16,3,FALSE)</f>
        <v>#N/A</v>
      </c>
      <c r="Y32" s="42" t="e">
        <f>VLOOKUP($I32,'AnmeldeVSS-Attribute'!$A$2:$H$16,4,FALSE)</f>
        <v>#N/A</v>
      </c>
      <c r="Z32" s="42" t="e">
        <f>VLOOKUP($I32,'AnmeldeVSS-Attribute'!$A$2:$H$16,5,FALSE)</f>
        <v>#N/A</v>
      </c>
      <c r="AA32" s="42" t="e">
        <f>VLOOKUP($I32,'AnmeldeVSS-Attribute'!$A$2:$H$16,6,FALSE)</f>
        <v>#N/A</v>
      </c>
      <c r="AB32" s="42" t="e">
        <f>VLOOKUP($I32,'AnmeldeVSS-Attribute'!$A$2:$H$16,7,FALSE)</f>
        <v>#N/A</v>
      </c>
      <c r="AC32" s="42" t="e">
        <f>IF(I32="Geldbetrag",J32,(IF(T32="",VLOOKUP($I32,'AnmeldeVSS-Attribute'!$A$2:$H$16,8,FALSE),T32)))</f>
        <v>#N/A</v>
      </c>
      <c r="AD32" s="42">
        <f>IF(S32="",0,VLOOKUP(S32,'AnmeldeVSS-Attribute'!$A$20:$B$26,2,FALSE))</f>
        <v>0</v>
      </c>
      <c r="AE32" s="42" t="e">
        <f t="shared" si="0"/>
        <v>#N/A</v>
      </c>
      <c r="AF32" s="42" t="str">
        <f t="shared" si="1"/>
        <v/>
      </c>
      <c r="AG32" s="42" t="str">
        <f t="shared" si="2"/>
        <v/>
      </c>
      <c r="AH32" s="47" t="str">
        <f t="shared" si="3"/>
        <v/>
      </c>
      <c r="AI32" s="47" t="str">
        <f t="shared" si="4"/>
        <v/>
      </c>
      <c r="AJ32" s="42" t="str">
        <f>IF(O32="",(IF(P32="Ansicht","INSERT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B32 &amp;" ,NULL ,'',349,"&amp; VLOOKUP(Q32,'AnmeldeVSS-Attribute'!$A$43:$B$50,2,FALSE)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B32 &amp;" ,"&amp; O32 &amp;" ,"&amp; IF(Q32="ja","'1'",IF(Q32="nein","'0'","'"&amp;Q32&amp;"'")) &amp;","&amp;IF(P32="enthält",349,IF(P32="nicht leer",352,IF(P32="enthält nicht",350,IF(P32="leer",351,0)))) &amp;" ,NULL ,GetDate() ,'scrc' ,GetDate() ,'scrc')")</f>
        <v/>
      </c>
      <c r="AK3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3" spans="1:37" x14ac:dyDescent="0.25">
      <c r="A33" s="66"/>
      <c r="B33" s="66"/>
      <c r="C33" s="64"/>
      <c r="D33" s="64"/>
      <c r="E33" s="63"/>
      <c r="F33" s="64"/>
      <c r="G33" s="64"/>
      <c r="H33" s="64"/>
      <c r="I33" s="64"/>
      <c r="J33" s="64"/>
      <c r="K33" s="64"/>
      <c r="L33" s="64"/>
      <c r="M33" s="63"/>
      <c r="N33" s="63"/>
      <c r="O33" s="63"/>
      <c r="P33" s="63"/>
      <c r="Q33" s="64"/>
      <c r="R33" s="63"/>
      <c r="S33" s="63"/>
      <c r="T33" s="65"/>
      <c r="U33" s="65"/>
      <c r="W33" s="42" t="e">
        <f>VLOOKUP($I33,'AnmeldeVSS-Attribute'!$A$2:$H$16,2,FALSE)</f>
        <v>#N/A</v>
      </c>
      <c r="X33" s="42" t="e">
        <f>VLOOKUP($I33,'AnmeldeVSS-Attribute'!$A$2:$H$16,3,FALSE)</f>
        <v>#N/A</v>
      </c>
      <c r="Y33" s="42" t="e">
        <f>VLOOKUP($I33,'AnmeldeVSS-Attribute'!$A$2:$H$16,4,FALSE)</f>
        <v>#N/A</v>
      </c>
      <c r="Z33" s="42" t="e">
        <f>VLOOKUP($I33,'AnmeldeVSS-Attribute'!$A$2:$H$16,5,FALSE)</f>
        <v>#N/A</v>
      </c>
      <c r="AA33" s="42" t="e">
        <f>VLOOKUP($I33,'AnmeldeVSS-Attribute'!$A$2:$H$16,6,FALSE)</f>
        <v>#N/A</v>
      </c>
      <c r="AB33" s="42" t="e">
        <f>VLOOKUP($I33,'AnmeldeVSS-Attribute'!$A$2:$H$16,7,FALSE)</f>
        <v>#N/A</v>
      </c>
      <c r="AC33" s="42" t="e">
        <f>IF(I33="Geldbetrag",J33,(IF(T33="",VLOOKUP($I33,'AnmeldeVSS-Attribute'!$A$2:$H$16,8,FALSE),T33)))</f>
        <v>#N/A</v>
      </c>
      <c r="AD33" s="42">
        <f>IF(S33="",0,VLOOKUP(S33,'AnmeldeVSS-Attribute'!$A$20:$B$26,2,FALSE))</f>
        <v>0</v>
      </c>
      <c r="AE33" s="42" t="e">
        <f t="shared" si="0"/>
        <v>#N/A</v>
      </c>
      <c r="AF33" s="42" t="str">
        <f t="shared" si="1"/>
        <v/>
      </c>
      <c r="AG33" s="42" t="str">
        <f t="shared" si="2"/>
        <v/>
      </c>
      <c r="AH33" s="47" t="str">
        <f t="shared" si="3"/>
        <v/>
      </c>
      <c r="AI33" s="47" t="str">
        <f t="shared" si="4"/>
        <v/>
      </c>
      <c r="AJ33" s="42" t="str">
        <f>IF(O33="",(IF(P33="Ansicht","INSERT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B33 &amp;" ,NULL ,'',349,"&amp; VLOOKUP(Q33,'AnmeldeVSS-Attribute'!$A$43:$B$50,2,FALSE)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B33 &amp;" ,"&amp; O33 &amp;" ,"&amp; IF(Q33="ja","'1'",IF(Q33="nein","'0'","'"&amp;Q33&amp;"'")) &amp;","&amp;IF(P33="enthält",349,IF(P33="nicht leer",352,IF(P33="enthält nicht",350,IF(P33="leer",351,0)))) &amp;" ,NULL ,GetDate() ,'scrc' ,GetDate() ,'scrc')")</f>
        <v/>
      </c>
      <c r="AK3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4" spans="1:37" x14ac:dyDescent="0.25">
      <c r="A34" s="66"/>
      <c r="B34" s="66"/>
      <c r="C34" s="64"/>
      <c r="D34" s="64"/>
      <c r="E34" s="63"/>
      <c r="F34" s="64"/>
      <c r="G34" s="64"/>
      <c r="H34" s="64"/>
      <c r="I34" s="64"/>
      <c r="J34" s="64"/>
      <c r="K34" s="64"/>
      <c r="L34" s="64"/>
      <c r="M34" s="63"/>
      <c r="N34" s="63"/>
      <c r="O34" s="63"/>
      <c r="P34" s="63"/>
      <c r="Q34" s="64"/>
      <c r="R34" s="63"/>
      <c r="S34" s="63"/>
      <c r="T34" s="65"/>
      <c r="U34" s="65"/>
      <c r="W34" s="42" t="e">
        <f>VLOOKUP($I34,'AnmeldeVSS-Attribute'!$A$2:$H$16,2,FALSE)</f>
        <v>#N/A</v>
      </c>
      <c r="X34" s="42" t="e">
        <f>VLOOKUP($I34,'AnmeldeVSS-Attribute'!$A$2:$H$16,3,FALSE)</f>
        <v>#N/A</v>
      </c>
      <c r="Y34" s="42" t="e">
        <f>VLOOKUP($I34,'AnmeldeVSS-Attribute'!$A$2:$H$16,4,FALSE)</f>
        <v>#N/A</v>
      </c>
      <c r="Z34" s="42" t="e">
        <f>VLOOKUP($I34,'AnmeldeVSS-Attribute'!$A$2:$H$16,5,FALSE)</f>
        <v>#N/A</v>
      </c>
      <c r="AA34" s="42" t="e">
        <f>VLOOKUP($I34,'AnmeldeVSS-Attribute'!$A$2:$H$16,6,FALSE)</f>
        <v>#N/A</v>
      </c>
      <c r="AB34" s="42" t="e">
        <f>VLOOKUP($I34,'AnmeldeVSS-Attribute'!$A$2:$H$16,7,FALSE)</f>
        <v>#N/A</v>
      </c>
      <c r="AC34" s="42" t="e">
        <f>IF(I34="Geldbetrag",J34,(IF(T34="",VLOOKUP($I34,'AnmeldeVSS-Attribute'!$A$2:$H$16,8,FALSE),T34)))</f>
        <v>#N/A</v>
      </c>
      <c r="AD34" s="42">
        <f>IF(S34="",0,VLOOKUP(S34,'AnmeldeVSS-Attribute'!$A$20:$B$26,2,FALSE))</f>
        <v>0</v>
      </c>
      <c r="AE34" s="42" t="e">
        <f t="shared" si="0"/>
        <v>#N/A</v>
      </c>
      <c r="AF34" s="42" t="str">
        <f t="shared" si="1"/>
        <v/>
      </c>
      <c r="AG34" s="42" t="str">
        <f t="shared" si="2"/>
        <v/>
      </c>
      <c r="AH34" s="47" t="str">
        <f t="shared" si="3"/>
        <v/>
      </c>
      <c r="AI34" s="47" t="str">
        <f t="shared" si="4"/>
        <v/>
      </c>
      <c r="AJ34" s="42" t="str">
        <f>IF(O34="",(IF(P34="Ansicht","INSERT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B34 &amp;" ,NULL ,'',349,"&amp; VLOOKUP(Q34,'AnmeldeVSS-Attribute'!$A$43:$B$50,2,FALSE)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B34 &amp;" ,"&amp; O34 &amp;" ,"&amp; IF(Q34="ja","'1'",IF(Q34="nein","'0'","'"&amp;Q34&amp;"'")) &amp;","&amp;IF(P34="enthält",349,IF(P34="nicht leer",352,IF(P34="enthält nicht",350,IF(P34="leer",351,0)))) &amp;" ,NULL ,GetDate() ,'scrc' ,GetDate() ,'scrc')")</f>
        <v/>
      </c>
      <c r="AK3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5" spans="1:37" x14ac:dyDescent="0.25">
      <c r="A35" s="66"/>
      <c r="B35" s="66"/>
      <c r="C35" s="64"/>
      <c r="D35" s="64"/>
      <c r="E35" s="63"/>
      <c r="F35" s="64"/>
      <c r="G35" s="64"/>
      <c r="H35" s="64"/>
      <c r="I35" s="64"/>
      <c r="J35" s="64"/>
      <c r="K35" s="64"/>
      <c r="L35" s="64"/>
      <c r="M35" s="63"/>
      <c r="N35" s="63"/>
      <c r="O35" s="63"/>
      <c r="P35" s="63"/>
      <c r="Q35" s="64"/>
      <c r="R35" s="63"/>
      <c r="S35" s="63"/>
      <c r="T35" s="65"/>
      <c r="U35" s="65"/>
      <c r="W35" s="42" t="e">
        <f>VLOOKUP($I35,'AnmeldeVSS-Attribute'!$A$2:$H$16,2,FALSE)</f>
        <v>#N/A</v>
      </c>
      <c r="X35" s="42" t="e">
        <f>VLOOKUP($I35,'AnmeldeVSS-Attribute'!$A$2:$H$16,3,FALSE)</f>
        <v>#N/A</v>
      </c>
      <c r="Y35" s="42" t="e">
        <f>VLOOKUP($I35,'AnmeldeVSS-Attribute'!$A$2:$H$16,4,FALSE)</f>
        <v>#N/A</v>
      </c>
      <c r="Z35" s="42" t="e">
        <f>VLOOKUP($I35,'AnmeldeVSS-Attribute'!$A$2:$H$16,5,FALSE)</f>
        <v>#N/A</v>
      </c>
      <c r="AA35" s="42" t="e">
        <f>VLOOKUP($I35,'AnmeldeVSS-Attribute'!$A$2:$H$16,6,FALSE)</f>
        <v>#N/A</v>
      </c>
      <c r="AB35" s="42" t="e">
        <f>VLOOKUP($I35,'AnmeldeVSS-Attribute'!$A$2:$H$16,7,FALSE)</f>
        <v>#N/A</v>
      </c>
      <c r="AC35" s="42" t="e">
        <f>IF(I35="Geldbetrag",J35,(IF(T35="",VLOOKUP($I35,'AnmeldeVSS-Attribute'!$A$2:$H$16,8,FALSE),T35)))</f>
        <v>#N/A</v>
      </c>
      <c r="AD35" s="42">
        <f>IF(S35="",0,VLOOKUP(S35,'AnmeldeVSS-Attribute'!$A$20:$B$26,2,FALSE))</f>
        <v>0</v>
      </c>
      <c r="AE35" s="42" t="e">
        <f t="shared" si="0"/>
        <v>#N/A</v>
      </c>
      <c r="AF35" s="42" t="str">
        <f t="shared" si="1"/>
        <v/>
      </c>
      <c r="AG35" s="42" t="str">
        <f t="shared" si="2"/>
        <v/>
      </c>
      <c r="AH35" s="47" t="str">
        <f t="shared" si="3"/>
        <v/>
      </c>
      <c r="AI35" s="47" t="str">
        <f t="shared" si="4"/>
        <v/>
      </c>
      <c r="AJ35" s="42" t="str">
        <f>IF(O35="",(IF(P35="Ansicht","INSERT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B35 &amp;" ,NULL ,'',349,"&amp; VLOOKUP(Q35,'AnmeldeVSS-Attribute'!$A$43:$B$50,2,FALSE)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B35 &amp;" ,"&amp; O35 &amp;" ,"&amp; IF(Q35="ja","'1'",IF(Q35="nein","'0'","'"&amp;Q35&amp;"'")) &amp;","&amp;IF(P35="enthält",349,IF(P35="nicht leer",352,IF(P35="enthält nicht",350,IF(P35="leer",351,0)))) &amp;" ,NULL ,GetDate() ,'scrc' ,GetDate() ,'scrc')")</f>
        <v/>
      </c>
      <c r="AK3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6" spans="1:37" x14ac:dyDescent="0.25">
      <c r="A36" s="66"/>
      <c r="B36" s="66"/>
      <c r="C36" s="64"/>
      <c r="D36" s="64"/>
      <c r="E36" s="63"/>
      <c r="F36" s="64"/>
      <c r="G36" s="64"/>
      <c r="H36" s="64"/>
      <c r="I36" s="64"/>
      <c r="J36" s="64"/>
      <c r="K36" s="64"/>
      <c r="L36" s="64"/>
      <c r="M36" s="63"/>
      <c r="N36" s="63"/>
      <c r="O36" s="63"/>
      <c r="P36" s="63"/>
      <c r="Q36" s="64"/>
      <c r="R36" s="63"/>
      <c r="S36" s="63"/>
      <c r="T36" s="65"/>
      <c r="U36" s="65"/>
      <c r="W36" s="42" t="e">
        <f>VLOOKUP($I36,'AnmeldeVSS-Attribute'!$A$2:$H$16,2,FALSE)</f>
        <v>#N/A</v>
      </c>
      <c r="X36" s="42" t="e">
        <f>VLOOKUP($I36,'AnmeldeVSS-Attribute'!$A$2:$H$16,3,FALSE)</f>
        <v>#N/A</v>
      </c>
      <c r="Y36" s="42" t="e">
        <f>VLOOKUP($I36,'AnmeldeVSS-Attribute'!$A$2:$H$16,4,FALSE)</f>
        <v>#N/A</v>
      </c>
      <c r="Z36" s="42" t="e">
        <f>VLOOKUP($I36,'AnmeldeVSS-Attribute'!$A$2:$H$16,5,FALSE)</f>
        <v>#N/A</v>
      </c>
      <c r="AA36" s="42" t="e">
        <f>VLOOKUP($I36,'AnmeldeVSS-Attribute'!$A$2:$H$16,6,FALSE)</f>
        <v>#N/A</v>
      </c>
      <c r="AB36" s="42" t="e">
        <f>VLOOKUP($I36,'AnmeldeVSS-Attribute'!$A$2:$H$16,7,FALSE)</f>
        <v>#N/A</v>
      </c>
      <c r="AC36" s="42" t="e">
        <f>IF(I36="Geldbetrag",J36,(IF(T36="",VLOOKUP($I36,'AnmeldeVSS-Attribute'!$A$2:$H$16,8,FALSE),T36)))</f>
        <v>#N/A</v>
      </c>
      <c r="AD36" s="42">
        <f>IF(S36="",0,VLOOKUP(S36,'AnmeldeVSS-Attribute'!$A$20:$B$26,2,FALSE))</f>
        <v>0</v>
      </c>
      <c r="AE36" s="42" t="e">
        <f t="shared" si="0"/>
        <v>#N/A</v>
      </c>
      <c r="AF36" s="42" t="str">
        <f t="shared" si="1"/>
        <v/>
      </c>
      <c r="AG36" s="42" t="str">
        <f t="shared" si="2"/>
        <v/>
      </c>
      <c r="AH36" s="47" t="str">
        <f t="shared" si="3"/>
        <v/>
      </c>
      <c r="AI36" s="47" t="str">
        <f t="shared" si="4"/>
        <v/>
      </c>
      <c r="AJ36" s="42" t="str">
        <f>IF(O36="",(IF(P36="Ansicht","INSERT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B36 &amp;" ,NULL ,'',349,"&amp; VLOOKUP(Q36,'AnmeldeVSS-Attribute'!$A$43:$B$50,2,FALSE)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B36 &amp;" ,"&amp; O36 &amp;" ,"&amp; IF(Q36="ja","'1'",IF(Q36="nein","'0'","'"&amp;Q36&amp;"'")) &amp;","&amp;IF(P36="enthält",349,IF(P36="nicht leer",352,IF(P36="enthält nicht",350,IF(P36="leer",351,0)))) &amp;" ,NULL ,GetDate() ,'scrc' ,GetDate() ,'scrc')")</f>
        <v/>
      </c>
      <c r="AK3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7" spans="1:37" s="35" customFormat="1" x14ac:dyDescent="0.25">
      <c r="A37" s="70"/>
      <c r="B37" s="70"/>
      <c r="C37" s="71"/>
      <c r="D37" s="71"/>
      <c r="E37" s="70"/>
      <c r="F37" s="71"/>
      <c r="G37" s="71"/>
      <c r="H37" s="71"/>
      <c r="I37" s="71"/>
      <c r="J37" s="71"/>
      <c r="K37" s="71"/>
      <c r="L37" s="71"/>
      <c r="M37" s="70"/>
      <c r="N37" s="70"/>
      <c r="O37" s="70"/>
      <c r="P37" s="70"/>
      <c r="Q37" s="71"/>
      <c r="R37" s="70"/>
      <c r="S37" s="70"/>
      <c r="T37" s="65"/>
      <c r="U37" s="65"/>
      <c r="V37" s="34"/>
      <c r="W37" s="42" t="e">
        <f>VLOOKUP($I37,'AnmeldeVSS-Attribute'!$A$2:$H$16,2,FALSE)</f>
        <v>#N/A</v>
      </c>
      <c r="X37" s="42" t="e">
        <f>VLOOKUP($I37,'AnmeldeVSS-Attribute'!$A$2:$H$16,3,FALSE)</f>
        <v>#N/A</v>
      </c>
      <c r="Y37" s="42" t="e">
        <f>VLOOKUP($I37,'AnmeldeVSS-Attribute'!$A$2:$H$16,4,FALSE)</f>
        <v>#N/A</v>
      </c>
      <c r="Z37" s="42" t="e">
        <f>VLOOKUP($I37,'AnmeldeVSS-Attribute'!$A$2:$H$16,5,FALSE)</f>
        <v>#N/A</v>
      </c>
      <c r="AA37" s="42" t="e">
        <f>VLOOKUP($I37,'AnmeldeVSS-Attribute'!$A$2:$H$16,6,FALSE)</f>
        <v>#N/A</v>
      </c>
      <c r="AB37" s="42" t="e">
        <f>VLOOKUP($I37,'AnmeldeVSS-Attribute'!$A$2:$H$16,7,FALSE)</f>
        <v>#N/A</v>
      </c>
      <c r="AC37" s="42" t="e">
        <f>IF(I37="Geldbetrag",J37,(IF(T37="",VLOOKUP($I37,'AnmeldeVSS-Attribute'!$A$2:$H$16,8,FALSE),T37)))</f>
        <v>#N/A</v>
      </c>
      <c r="AD37" s="42">
        <f>IF(S37="",0,VLOOKUP(S37,'AnmeldeVSS-Attribute'!$A$20:$B$26,2,FALSE))</f>
        <v>0</v>
      </c>
      <c r="AE37" s="42" t="e">
        <f t="shared" si="0"/>
        <v>#N/A</v>
      </c>
      <c r="AF37" s="42" t="str">
        <f t="shared" si="1"/>
        <v/>
      </c>
      <c r="AG37" s="42" t="str">
        <f t="shared" si="2"/>
        <v/>
      </c>
      <c r="AH37" s="47" t="str">
        <f t="shared" si="3"/>
        <v/>
      </c>
      <c r="AI37" s="47" t="str">
        <f t="shared" si="4"/>
        <v/>
      </c>
      <c r="AJ37" s="42" t="str">
        <f>IF(O37="",(IF(P37="Ansicht","INSERT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B37 &amp;" ,NULL ,'',349,"&amp; VLOOKUP(Q37,'AnmeldeVSS-Attribute'!$A$43:$B$50,2,FALSE)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B37 &amp;" ,"&amp; O37 &amp;" ,"&amp; IF(Q37="ja","'1'",IF(Q37="nein","'0'","'"&amp;Q37&amp;"'")) &amp;","&amp;IF(P37="enthält",349,IF(P37="nicht leer",352,IF(P37="enthält nicht",350,IF(P37="leer",351,0)))) &amp;" ,NULL ,GetDate() ,'scrc' ,GetDate() ,'scrc')")</f>
        <v/>
      </c>
      <c r="AK3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8" spans="1:37" s="35" customFormat="1" x14ac:dyDescent="0.25">
      <c r="A38" s="66"/>
      <c r="B38" s="66"/>
      <c r="C38" s="68"/>
      <c r="D38" s="68"/>
      <c r="E38" s="66"/>
      <c r="F38" s="68"/>
      <c r="G38" s="68"/>
      <c r="H38" s="68"/>
      <c r="I38" s="68"/>
      <c r="J38" s="68"/>
      <c r="K38" s="68"/>
      <c r="L38" s="68"/>
      <c r="M38" s="66"/>
      <c r="N38" s="66"/>
      <c r="O38" s="66"/>
      <c r="P38" s="66"/>
      <c r="Q38" s="68"/>
      <c r="R38" s="66"/>
      <c r="S38" s="66"/>
      <c r="T38" s="65"/>
      <c r="U38" s="65"/>
      <c r="V38" s="34"/>
      <c r="W38" s="42" t="e">
        <f>VLOOKUP($I38,'AnmeldeVSS-Attribute'!$A$2:$H$16,2,FALSE)</f>
        <v>#N/A</v>
      </c>
      <c r="X38" s="42" t="e">
        <f>VLOOKUP($I38,'AnmeldeVSS-Attribute'!$A$2:$H$16,3,FALSE)</f>
        <v>#N/A</v>
      </c>
      <c r="Y38" s="42" t="e">
        <f>VLOOKUP($I38,'AnmeldeVSS-Attribute'!$A$2:$H$16,4,FALSE)</f>
        <v>#N/A</v>
      </c>
      <c r="Z38" s="42" t="e">
        <f>VLOOKUP($I38,'AnmeldeVSS-Attribute'!$A$2:$H$16,5,FALSE)</f>
        <v>#N/A</v>
      </c>
      <c r="AA38" s="42" t="e">
        <f>VLOOKUP($I38,'AnmeldeVSS-Attribute'!$A$2:$H$16,6,FALSE)</f>
        <v>#N/A</v>
      </c>
      <c r="AB38" s="42" t="e">
        <f>VLOOKUP($I38,'AnmeldeVSS-Attribute'!$A$2:$H$16,7,FALSE)</f>
        <v>#N/A</v>
      </c>
      <c r="AC38" s="42" t="e">
        <f>IF(I38="Geldbetrag",J38,(IF(T38="",VLOOKUP($I38,'AnmeldeVSS-Attribute'!$A$2:$H$16,8,FALSE),T38)))</f>
        <v>#N/A</v>
      </c>
      <c r="AD38" s="42">
        <f>IF(S38="",0,VLOOKUP(S38,'AnmeldeVSS-Attribute'!$A$20:$B$26,2,FALSE))</f>
        <v>0</v>
      </c>
      <c r="AE38" s="42" t="e">
        <f t="shared" si="0"/>
        <v>#N/A</v>
      </c>
      <c r="AF38" s="42" t="str">
        <f t="shared" si="1"/>
        <v/>
      </c>
      <c r="AG38" s="42" t="str">
        <f t="shared" si="2"/>
        <v/>
      </c>
      <c r="AH38" s="47" t="str">
        <f t="shared" si="3"/>
        <v/>
      </c>
      <c r="AI38" s="47" t="str">
        <f t="shared" si="4"/>
        <v/>
      </c>
      <c r="AJ38" s="42" t="str">
        <f>IF(O38="",(IF(P38="Ansicht","INSERT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B38 &amp;" ,NULL ,'',349,"&amp; VLOOKUP(Q38,'AnmeldeVSS-Attribute'!$A$43:$B$50,2,FALSE)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B38 &amp;" ,"&amp; O38 &amp;" ,"&amp; IF(Q38="ja","'1'",IF(Q38="nein","'0'","'"&amp;Q38&amp;"'")) &amp;","&amp;IF(P38="enthält",349,IF(P38="nicht leer",352,IF(P38="enthält nicht",350,IF(P38="leer",351,0)))) &amp;" ,NULL ,GetDate() ,'scrc' ,GetDate() ,'scrc')")</f>
        <v/>
      </c>
      <c r="AK3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39" spans="1:37" s="35" customFormat="1" x14ac:dyDescent="0.25">
      <c r="A39" s="66"/>
      <c r="B39" s="66"/>
      <c r="C39" s="68"/>
      <c r="D39" s="68"/>
      <c r="E39" s="66"/>
      <c r="F39" s="68"/>
      <c r="G39" s="68"/>
      <c r="H39" s="68"/>
      <c r="I39" s="68"/>
      <c r="J39" s="68"/>
      <c r="K39" s="68"/>
      <c r="L39" s="68"/>
      <c r="M39" s="66"/>
      <c r="N39" s="66"/>
      <c r="O39" s="66"/>
      <c r="P39" s="66"/>
      <c r="Q39" s="68"/>
      <c r="R39" s="66"/>
      <c r="S39" s="66"/>
      <c r="T39" s="65"/>
      <c r="U39" s="65"/>
      <c r="V39" s="34"/>
      <c r="W39" s="42" t="e">
        <f>VLOOKUP($I39,'AnmeldeVSS-Attribute'!$A$2:$H$16,2,FALSE)</f>
        <v>#N/A</v>
      </c>
      <c r="X39" s="42" t="e">
        <f>VLOOKUP($I39,'AnmeldeVSS-Attribute'!$A$2:$H$16,3,FALSE)</f>
        <v>#N/A</v>
      </c>
      <c r="Y39" s="42" t="e">
        <f>VLOOKUP($I39,'AnmeldeVSS-Attribute'!$A$2:$H$16,4,FALSE)</f>
        <v>#N/A</v>
      </c>
      <c r="Z39" s="42" t="e">
        <f>VLOOKUP($I39,'AnmeldeVSS-Attribute'!$A$2:$H$16,5,FALSE)</f>
        <v>#N/A</v>
      </c>
      <c r="AA39" s="42" t="e">
        <f>VLOOKUP($I39,'AnmeldeVSS-Attribute'!$A$2:$H$16,6,FALSE)</f>
        <v>#N/A</v>
      </c>
      <c r="AB39" s="42" t="e">
        <f>VLOOKUP($I39,'AnmeldeVSS-Attribute'!$A$2:$H$16,7,FALSE)</f>
        <v>#N/A</v>
      </c>
      <c r="AC39" s="42" t="e">
        <f>IF(I39="Geldbetrag",J39,(IF(T39="",VLOOKUP($I39,'AnmeldeVSS-Attribute'!$A$2:$H$16,8,FALSE),T39)))</f>
        <v>#N/A</v>
      </c>
      <c r="AD39" s="42">
        <f>IF(S39="",0,VLOOKUP(S39,'AnmeldeVSS-Attribute'!$A$20:$B$26,2,FALSE))</f>
        <v>0</v>
      </c>
      <c r="AE39" s="42" t="e">
        <f t="shared" si="0"/>
        <v>#N/A</v>
      </c>
      <c r="AF39" s="42" t="str">
        <f t="shared" si="1"/>
        <v/>
      </c>
      <c r="AG39" s="42" t="str">
        <f t="shared" si="2"/>
        <v/>
      </c>
      <c r="AH39" s="47" t="str">
        <f t="shared" si="3"/>
        <v/>
      </c>
      <c r="AI39" s="47" t="str">
        <f t="shared" si="4"/>
        <v/>
      </c>
      <c r="AJ39" s="42" t="str">
        <f>IF(O39="",(IF(P39="Ansicht","INSERT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B39 &amp;" ,NULL ,'',349,"&amp; VLOOKUP(Q39,'AnmeldeVSS-Attribute'!$A$43:$B$50,2,FALSE)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B39 &amp;" ,"&amp; O39 &amp;" ,"&amp; IF(Q39="ja","'1'",IF(Q39="nein","'0'","'"&amp;Q39&amp;"'")) &amp;","&amp;IF(P39="enthält",349,IF(P39="nicht leer",352,IF(P39="enthält nicht",350,IF(P39="leer",351,0)))) &amp;" ,NULL ,GetDate() ,'scrc' ,GetDate() ,'scrc')")</f>
        <v/>
      </c>
      <c r="AK39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0" spans="1:37" s="35" customFormat="1" x14ac:dyDescent="0.25">
      <c r="A40" s="66"/>
      <c r="B40" s="66"/>
      <c r="C40" s="68"/>
      <c r="D40" s="68"/>
      <c r="E40" s="66"/>
      <c r="F40" s="68"/>
      <c r="G40" s="68"/>
      <c r="H40" s="68"/>
      <c r="I40" s="68"/>
      <c r="J40" s="68"/>
      <c r="K40" s="68"/>
      <c r="L40" s="68"/>
      <c r="M40" s="66"/>
      <c r="N40" s="66"/>
      <c r="O40" s="66"/>
      <c r="P40" s="66"/>
      <c r="Q40" s="68"/>
      <c r="R40" s="66"/>
      <c r="S40" s="66"/>
      <c r="T40" s="65"/>
      <c r="U40" s="65"/>
      <c r="V40" s="34"/>
      <c r="W40" s="42" t="e">
        <f>VLOOKUP($I40,'AnmeldeVSS-Attribute'!$A$2:$H$16,2,FALSE)</f>
        <v>#N/A</v>
      </c>
      <c r="X40" s="42" t="e">
        <f>VLOOKUP($I40,'AnmeldeVSS-Attribute'!$A$2:$H$16,3,FALSE)</f>
        <v>#N/A</v>
      </c>
      <c r="Y40" s="42" t="e">
        <f>VLOOKUP($I40,'AnmeldeVSS-Attribute'!$A$2:$H$16,4,FALSE)</f>
        <v>#N/A</v>
      </c>
      <c r="Z40" s="42" t="e">
        <f>VLOOKUP($I40,'AnmeldeVSS-Attribute'!$A$2:$H$16,5,FALSE)</f>
        <v>#N/A</v>
      </c>
      <c r="AA40" s="42" t="e">
        <f>VLOOKUP($I40,'AnmeldeVSS-Attribute'!$A$2:$H$16,6,FALSE)</f>
        <v>#N/A</v>
      </c>
      <c r="AB40" s="42" t="e">
        <f>VLOOKUP($I40,'AnmeldeVSS-Attribute'!$A$2:$H$16,7,FALSE)</f>
        <v>#N/A</v>
      </c>
      <c r="AC40" s="42" t="e">
        <f>IF(I40="Geldbetrag",J40,(IF(T40="",VLOOKUP($I40,'AnmeldeVSS-Attribute'!$A$2:$H$16,8,FALSE),T40)))</f>
        <v>#N/A</v>
      </c>
      <c r="AD40" s="42">
        <f>IF(S40="",0,VLOOKUP(S40,'AnmeldeVSS-Attribute'!$A$20:$B$26,2,FALSE))</f>
        <v>0</v>
      </c>
      <c r="AE40" s="42" t="e">
        <f t="shared" si="0"/>
        <v>#N/A</v>
      </c>
      <c r="AF40" s="42" t="str">
        <f t="shared" si="1"/>
        <v/>
      </c>
      <c r="AG40" s="42" t="str">
        <f t="shared" si="2"/>
        <v/>
      </c>
      <c r="AH40" s="47" t="str">
        <f t="shared" si="3"/>
        <v/>
      </c>
      <c r="AI40" s="47" t="str">
        <f t="shared" si="4"/>
        <v/>
      </c>
      <c r="AJ40" s="42" t="str">
        <f>IF(O40="",(IF(P40="Ansicht","INSERT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B40 &amp;" ,NULL ,'',349,"&amp; VLOOKUP(Q40,'AnmeldeVSS-Attribute'!$A$43:$B$50,2,FALSE)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B40 &amp;" ,"&amp; O40 &amp;" ,"&amp; IF(Q40="ja","'1'",IF(Q40="nein","'0'","'"&amp;Q40&amp;"'")) &amp;","&amp;IF(P40="enthält",349,IF(P40="nicht leer",352,IF(P40="enthält nicht",350,IF(P40="leer",351,0)))) &amp;" ,NULL ,GetDate() ,'scrc' ,GetDate() ,'scrc')")</f>
        <v/>
      </c>
      <c r="AK4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1" spans="1:37" s="35" customFormat="1" x14ac:dyDescent="0.25">
      <c r="A41" s="36"/>
      <c r="B41" s="36"/>
      <c r="C41" s="64"/>
      <c r="D41" s="64"/>
      <c r="E41" s="63"/>
      <c r="F41" s="64"/>
      <c r="G41" s="64"/>
      <c r="H41" s="64"/>
      <c r="I41" s="64"/>
      <c r="J41" s="64"/>
      <c r="K41" s="64"/>
      <c r="L41" s="64"/>
      <c r="M41" s="63"/>
      <c r="N41" s="63"/>
      <c r="O41" s="63"/>
      <c r="P41" s="63"/>
      <c r="Q41" s="64"/>
      <c r="R41" s="63"/>
      <c r="S41" s="63"/>
      <c r="T41" s="65"/>
      <c r="U41" s="65"/>
      <c r="V41" s="34"/>
      <c r="W41" s="42" t="e">
        <f>VLOOKUP($I41,'AnmeldeVSS-Attribute'!$A$2:$H$16,2,FALSE)</f>
        <v>#N/A</v>
      </c>
      <c r="X41" s="42" t="e">
        <f>VLOOKUP($I41,'AnmeldeVSS-Attribute'!$A$2:$H$16,3,FALSE)</f>
        <v>#N/A</v>
      </c>
      <c r="Y41" s="42" t="e">
        <f>VLOOKUP($I41,'AnmeldeVSS-Attribute'!$A$2:$H$16,4,FALSE)</f>
        <v>#N/A</v>
      </c>
      <c r="Z41" s="42" t="e">
        <f>VLOOKUP($I41,'AnmeldeVSS-Attribute'!$A$2:$H$16,5,FALSE)</f>
        <v>#N/A</v>
      </c>
      <c r="AA41" s="42" t="e">
        <f>VLOOKUP($I41,'AnmeldeVSS-Attribute'!$A$2:$H$16,6,FALSE)</f>
        <v>#N/A</v>
      </c>
      <c r="AB41" s="42" t="e">
        <f>VLOOKUP($I41,'AnmeldeVSS-Attribute'!$A$2:$H$16,7,FALSE)</f>
        <v>#N/A</v>
      </c>
      <c r="AC41" s="42" t="e">
        <f>IF(I41="Geldbetrag",J41,(IF(T41="",VLOOKUP($I41,'AnmeldeVSS-Attribute'!$A$2:$H$16,8,FALSE),T41)))</f>
        <v>#N/A</v>
      </c>
      <c r="AD41" s="42">
        <f>IF(S41="",0,VLOOKUP(S41,'AnmeldeVSS-Attribute'!$A$20:$B$26,2,FALSE))</f>
        <v>0</v>
      </c>
      <c r="AE41" s="42" t="e">
        <f t="shared" si="0"/>
        <v>#N/A</v>
      </c>
      <c r="AF41" s="42" t="str">
        <f t="shared" si="1"/>
        <v/>
      </c>
      <c r="AG41" s="42" t="str">
        <f t="shared" si="2"/>
        <v/>
      </c>
      <c r="AH41" s="47" t="str">
        <f t="shared" si="3"/>
        <v/>
      </c>
      <c r="AI41" s="47" t="str">
        <f t="shared" si="4"/>
        <v/>
      </c>
      <c r="AJ41" s="42" t="str">
        <f>IF(O41="",(IF(P41="Ansicht","INSERT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B41 &amp;" ,NULL ,'',349,"&amp; VLOOKUP(Q41,'AnmeldeVSS-Attribute'!$A$43:$B$50,2,FALSE)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B41 &amp;" ,"&amp; O41 &amp;" ,"&amp; IF(Q41="ja","'1'",IF(Q41="nein","'0'","'"&amp;Q41&amp;"'")) &amp;","&amp;IF(P41="enthält",349,IF(P41="nicht leer",352,IF(P41="enthält nicht",350,IF(P41="leer",351,0)))) &amp;" ,NULL ,GetDate() ,'scrc' ,GetDate() ,'scrc')")</f>
        <v/>
      </c>
      <c r="AK4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2" spans="1:37" s="35" customFormat="1" x14ac:dyDescent="0.25">
      <c r="A42" s="66"/>
      <c r="B42" s="66"/>
      <c r="C42" s="68"/>
      <c r="D42" s="68"/>
      <c r="E42" s="66"/>
      <c r="F42" s="68"/>
      <c r="G42" s="68"/>
      <c r="H42" s="68"/>
      <c r="I42" s="68"/>
      <c r="J42" s="68"/>
      <c r="K42" s="68"/>
      <c r="L42" s="68"/>
      <c r="M42" s="66"/>
      <c r="N42" s="66"/>
      <c r="O42" s="66"/>
      <c r="P42" s="66"/>
      <c r="Q42" s="68"/>
      <c r="R42" s="66"/>
      <c r="S42" s="66"/>
      <c r="T42" s="65"/>
      <c r="U42" s="65"/>
      <c r="W42" s="42" t="e">
        <f>VLOOKUP($I42,'AnmeldeVSS-Attribute'!$A$2:$H$16,2,FALSE)</f>
        <v>#N/A</v>
      </c>
      <c r="X42" s="42" t="e">
        <f>VLOOKUP($I42,'AnmeldeVSS-Attribute'!$A$2:$H$16,3,FALSE)</f>
        <v>#N/A</v>
      </c>
      <c r="Y42" s="42" t="e">
        <f>VLOOKUP($I42,'AnmeldeVSS-Attribute'!$A$2:$H$16,4,FALSE)</f>
        <v>#N/A</v>
      </c>
      <c r="Z42" s="42" t="e">
        <f>VLOOKUP($I42,'AnmeldeVSS-Attribute'!$A$2:$H$16,5,FALSE)</f>
        <v>#N/A</v>
      </c>
      <c r="AA42" s="42" t="e">
        <f>VLOOKUP($I42,'AnmeldeVSS-Attribute'!$A$2:$H$16,6,FALSE)</f>
        <v>#N/A</v>
      </c>
      <c r="AB42" s="42" t="e">
        <f>VLOOKUP($I42,'AnmeldeVSS-Attribute'!$A$2:$H$16,7,FALSE)</f>
        <v>#N/A</v>
      </c>
      <c r="AC42" s="42" t="e">
        <f>IF(I42="Geldbetrag",J42,(IF(T42="",VLOOKUP($I42,'AnmeldeVSS-Attribute'!$A$2:$H$16,8,FALSE),T42)))</f>
        <v>#N/A</v>
      </c>
      <c r="AD42" s="42">
        <f>IF(S42="",0,VLOOKUP(S42,'AnmeldeVSS-Attribute'!$A$20:$B$26,2,FALSE))</f>
        <v>0</v>
      </c>
      <c r="AE42" s="42" t="e">
        <f t="shared" si="0"/>
        <v>#N/A</v>
      </c>
      <c r="AF42" s="42" t="str">
        <f t="shared" si="1"/>
        <v/>
      </c>
      <c r="AG42" s="42" t="str">
        <f t="shared" si="2"/>
        <v/>
      </c>
      <c r="AH42" s="47" t="str">
        <f t="shared" si="3"/>
        <v/>
      </c>
      <c r="AI42" s="47" t="str">
        <f t="shared" si="4"/>
        <v/>
      </c>
      <c r="AJ42" s="42" t="str">
        <f>IF(O42="",(IF(P42="Ansicht","INSERT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B42 &amp;" ,NULL ,'',349,"&amp; VLOOKUP(Q42,'AnmeldeVSS-Attribute'!$A$43:$B$50,2,FALSE)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B42 &amp;" ,"&amp; O42 &amp;" ,"&amp; IF(Q42="ja","'1'",IF(Q42="nein","'0'","'"&amp;Q42&amp;"'")) &amp;","&amp;IF(P42="enthält",349,IF(P42="nicht leer",352,IF(P42="enthält nicht",350,IF(P42="leer",351,0)))) &amp;" ,NULL ,GetDate() ,'scrc' ,GetDate() ,'scrc')")</f>
        <v/>
      </c>
      <c r="AK4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3" spans="1:37" s="35" customFormat="1" x14ac:dyDescent="0.25">
      <c r="A43" s="36"/>
      <c r="B43" s="36"/>
      <c r="C43" s="64"/>
      <c r="D43" s="64"/>
      <c r="E43" s="63"/>
      <c r="F43" s="64"/>
      <c r="G43" s="64"/>
      <c r="H43" s="64"/>
      <c r="I43" s="64"/>
      <c r="J43" s="64"/>
      <c r="K43" s="64"/>
      <c r="L43" s="64"/>
      <c r="M43" s="63"/>
      <c r="N43" s="63"/>
      <c r="O43" s="63"/>
      <c r="P43" s="63"/>
      <c r="Q43" s="64"/>
      <c r="R43" s="63"/>
      <c r="S43" s="63"/>
      <c r="T43" s="65"/>
      <c r="U43" s="65"/>
      <c r="W43" s="42" t="e">
        <f>VLOOKUP($I43,'AnmeldeVSS-Attribute'!$A$2:$H$16,2,FALSE)</f>
        <v>#N/A</v>
      </c>
      <c r="X43" s="42" t="e">
        <f>VLOOKUP($I43,'AnmeldeVSS-Attribute'!$A$2:$H$16,3,FALSE)</f>
        <v>#N/A</v>
      </c>
      <c r="Y43" s="42" t="e">
        <f>VLOOKUP($I43,'AnmeldeVSS-Attribute'!$A$2:$H$16,4,FALSE)</f>
        <v>#N/A</v>
      </c>
      <c r="Z43" s="42" t="e">
        <f>VLOOKUP($I43,'AnmeldeVSS-Attribute'!$A$2:$H$16,5,FALSE)</f>
        <v>#N/A</v>
      </c>
      <c r="AA43" s="42" t="e">
        <f>VLOOKUP($I43,'AnmeldeVSS-Attribute'!$A$2:$H$16,6,FALSE)</f>
        <v>#N/A</v>
      </c>
      <c r="AB43" s="42" t="e">
        <f>VLOOKUP($I43,'AnmeldeVSS-Attribute'!$A$2:$H$16,7,FALSE)</f>
        <v>#N/A</v>
      </c>
      <c r="AC43" s="42" t="e">
        <f>IF(I43="Geldbetrag",J43,(IF(T43="",VLOOKUP($I43,'AnmeldeVSS-Attribute'!$A$2:$H$16,8,FALSE),T43)))</f>
        <v>#N/A</v>
      </c>
      <c r="AD43" s="42">
        <f>IF(S43="",0,VLOOKUP(S43,'AnmeldeVSS-Attribute'!$A$20:$B$26,2,FALSE))</f>
        <v>0</v>
      </c>
      <c r="AE43" s="42" t="e">
        <f t="shared" si="0"/>
        <v>#N/A</v>
      </c>
      <c r="AF43" s="42" t="str">
        <f t="shared" si="1"/>
        <v/>
      </c>
      <c r="AG43" s="42" t="str">
        <f t="shared" si="2"/>
        <v/>
      </c>
      <c r="AH43" s="47" t="str">
        <f t="shared" si="3"/>
        <v/>
      </c>
      <c r="AI43" s="47" t="str">
        <f t="shared" si="4"/>
        <v/>
      </c>
      <c r="AJ43" s="42" t="str">
        <f>IF(O43="",(IF(P43="Ansicht","INSERT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B43 &amp;" ,NULL ,'',349,"&amp; VLOOKUP(Q43,'AnmeldeVSS-Attribute'!$A$43:$B$50,2,FALSE)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B43 &amp;" ,"&amp; O43 &amp;" ,"&amp; IF(Q43="ja","'1'",IF(Q43="nein","'0'","'"&amp;Q43&amp;"'")) &amp;","&amp;IF(P43="enthält",349,IF(P43="nicht leer",352,IF(P43="enthält nicht",350,IF(P43="leer",351,0)))) &amp;" ,NULL ,GetDate() ,'scrc' ,GetDate() ,'scrc')")</f>
        <v/>
      </c>
      <c r="AK4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4" spans="1:37" s="35" customFormat="1" x14ac:dyDescent="0.25">
      <c r="A44" s="66"/>
      <c r="B44" s="66"/>
      <c r="C44" s="68"/>
      <c r="D44" s="68"/>
      <c r="E44" s="66"/>
      <c r="F44" s="68"/>
      <c r="G44" s="68"/>
      <c r="H44" s="68"/>
      <c r="I44" s="68"/>
      <c r="J44" s="68"/>
      <c r="K44" s="53"/>
      <c r="L44" s="68"/>
      <c r="M44" s="66"/>
      <c r="N44" s="66"/>
      <c r="O44" s="66"/>
      <c r="P44" s="66"/>
      <c r="Q44" s="68"/>
      <c r="R44" s="66"/>
      <c r="S44" s="66"/>
      <c r="T44" s="65"/>
      <c r="U44" s="65"/>
      <c r="V44" s="34"/>
      <c r="W44" s="42" t="e">
        <f>VLOOKUP($I44,'AnmeldeVSS-Attribute'!$A$2:$H$16,2,FALSE)</f>
        <v>#N/A</v>
      </c>
      <c r="X44" s="42" t="e">
        <f>VLOOKUP($I44,'AnmeldeVSS-Attribute'!$A$2:$H$16,3,FALSE)</f>
        <v>#N/A</v>
      </c>
      <c r="Y44" s="42" t="e">
        <f>VLOOKUP($I44,'AnmeldeVSS-Attribute'!$A$2:$H$16,4,FALSE)</f>
        <v>#N/A</v>
      </c>
      <c r="Z44" s="42" t="e">
        <f>VLOOKUP($I44,'AnmeldeVSS-Attribute'!$A$2:$H$16,5,FALSE)</f>
        <v>#N/A</v>
      </c>
      <c r="AA44" s="42" t="e">
        <f>VLOOKUP($I44,'AnmeldeVSS-Attribute'!$A$2:$H$16,6,FALSE)</f>
        <v>#N/A</v>
      </c>
      <c r="AB44" s="42" t="e">
        <f>VLOOKUP($I44,'AnmeldeVSS-Attribute'!$A$2:$H$16,7,FALSE)</f>
        <v>#N/A</v>
      </c>
      <c r="AC44" s="42" t="e">
        <f>IF(I44="Geldbetrag",J44,(IF(T44="",VLOOKUP($I44,'AnmeldeVSS-Attribute'!$A$2:$H$16,8,FALSE),T44)))</f>
        <v>#N/A</v>
      </c>
      <c r="AD44" s="42">
        <f>IF(S44="",0,VLOOKUP(S44,'AnmeldeVSS-Attribute'!$A$20:$B$26,2,FALSE))</f>
        <v>0</v>
      </c>
      <c r="AE44" s="42" t="e">
        <f t="shared" si="0"/>
        <v>#N/A</v>
      </c>
      <c r="AF44" s="42" t="str">
        <f t="shared" si="1"/>
        <v/>
      </c>
      <c r="AG44" s="42" t="str">
        <f t="shared" si="2"/>
        <v/>
      </c>
      <c r="AH44" s="47" t="str">
        <f t="shared" si="3"/>
        <v/>
      </c>
      <c r="AI44" s="47" t="str">
        <f t="shared" si="4"/>
        <v/>
      </c>
      <c r="AJ44" s="42" t="str">
        <f>IF(O44="",(IF(P44="Ansicht","INSERT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B44 &amp;" ,NULL ,'',349,"&amp; VLOOKUP(Q44,'AnmeldeVSS-Attribute'!$A$43:$B$50,2,FALSE)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B44 &amp;" ,"&amp; O44 &amp;" ,"&amp; IF(Q44="ja","'1'",IF(Q44="nein","'0'","'"&amp;Q44&amp;"'")) &amp;","&amp;IF(P44="enthält",349,IF(P44="nicht leer",352,IF(P44="enthält nicht",350,IF(P44="leer",351,0)))) &amp;" ,NULL ,GetDate() ,'scrc' ,GetDate() ,'scrc')")</f>
        <v/>
      </c>
      <c r="AK4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5" spans="1:37" s="35" customFormat="1" x14ac:dyDescent="0.25">
      <c r="A45" s="36"/>
      <c r="B45" s="36"/>
      <c r="C45" s="64"/>
      <c r="D45" s="64"/>
      <c r="E45" s="63"/>
      <c r="F45" s="64"/>
      <c r="G45" s="64"/>
      <c r="H45" s="64"/>
      <c r="I45" s="64"/>
      <c r="J45" s="64"/>
      <c r="K45" s="64"/>
      <c r="L45" s="64"/>
      <c r="M45" s="63"/>
      <c r="N45" s="63"/>
      <c r="O45" s="63"/>
      <c r="P45" s="63"/>
      <c r="Q45" s="64"/>
      <c r="R45" s="63"/>
      <c r="S45" s="63"/>
      <c r="T45" s="65"/>
      <c r="U45" s="65"/>
      <c r="V45" s="34"/>
      <c r="W45" s="42" t="e">
        <f>VLOOKUP($I45,'AnmeldeVSS-Attribute'!$A$2:$H$16,2,FALSE)</f>
        <v>#N/A</v>
      </c>
      <c r="X45" s="42" t="e">
        <f>VLOOKUP($I45,'AnmeldeVSS-Attribute'!$A$2:$H$16,3,FALSE)</f>
        <v>#N/A</v>
      </c>
      <c r="Y45" s="42" t="e">
        <f>VLOOKUP($I45,'AnmeldeVSS-Attribute'!$A$2:$H$16,4,FALSE)</f>
        <v>#N/A</v>
      </c>
      <c r="Z45" s="42" t="e">
        <f>VLOOKUP($I45,'AnmeldeVSS-Attribute'!$A$2:$H$16,5,FALSE)</f>
        <v>#N/A</v>
      </c>
      <c r="AA45" s="42" t="e">
        <f>VLOOKUP($I45,'AnmeldeVSS-Attribute'!$A$2:$H$16,6,FALSE)</f>
        <v>#N/A</v>
      </c>
      <c r="AB45" s="42" t="e">
        <f>VLOOKUP($I45,'AnmeldeVSS-Attribute'!$A$2:$H$16,7,FALSE)</f>
        <v>#N/A</v>
      </c>
      <c r="AC45" s="42" t="e">
        <f>IF(I45="Geldbetrag",J45,(IF(T45="",VLOOKUP($I45,'AnmeldeVSS-Attribute'!$A$2:$H$16,8,FALSE),T45)))</f>
        <v>#N/A</v>
      </c>
      <c r="AD45" s="42">
        <f>IF(S45="",0,VLOOKUP(S45,'AnmeldeVSS-Attribute'!$A$20:$B$26,2,FALSE))</f>
        <v>0</v>
      </c>
      <c r="AE45" s="42" t="e">
        <f t="shared" si="0"/>
        <v>#N/A</v>
      </c>
      <c r="AF45" s="42" t="str">
        <f t="shared" si="1"/>
        <v/>
      </c>
      <c r="AG45" s="42" t="str">
        <f t="shared" si="2"/>
        <v/>
      </c>
      <c r="AH45" s="47" t="str">
        <f t="shared" si="3"/>
        <v/>
      </c>
      <c r="AI45" s="47" t="str">
        <f t="shared" si="4"/>
        <v/>
      </c>
      <c r="AJ45" s="42" t="str">
        <f>IF(O45="",(IF(P45="Ansicht","INSERT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B45 &amp;" ,NULL ,'',349,"&amp; VLOOKUP(Q45,'AnmeldeVSS-Attribute'!$A$43:$B$50,2,FALSE)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B45 &amp;" ,"&amp; O45 &amp;" ,"&amp; IF(Q45="ja","'1'",IF(Q45="nein","'0'","'"&amp;Q45&amp;"'")) &amp;","&amp;IF(P45="enthält",349,IF(P45="nicht leer",352,IF(P45="enthält nicht",350,IF(P45="leer",351,0)))) &amp;" ,NULL ,GetDate() ,'scrc' ,GetDate() ,'scrc')")</f>
        <v/>
      </c>
      <c r="AK4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6" spans="1:37" s="35" customFormat="1" x14ac:dyDescent="0.25">
      <c r="A46" s="66"/>
      <c r="B46" s="66"/>
      <c r="C46" s="64"/>
      <c r="D46" s="64"/>
      <c r="E46" s="63"/>
      <c r="F46" s="64"/>
      <c r="G46" s="64"/>
      <c r="H46" s="64"/>
      <c r="I46" s="64"/>
      <c r="J46" s="64"/>
      <c r="K46" s="64"/>
      <c r="L46" s="64"/>
      <c r="M46" s="63"/>
      <c r="N46" s="63"/>
      <c r="O46" s="63"/>
      <c r="P46" s="63"/>
      <c r="Q46" s="64"/>
      <c r="R46" s="63"/>
      <c r="S46" s="63"/>
      <c r="T46" s="65"/>
      <c r="U46" s="65"/>
      <c r="W46" s="42" t="e">
        <f>VLOOKUP($I46,'AnmeldeVSS-Attribute'!$A$2:$H$16,2,FALSE)</f>
        <v>#N/A</v>
      </c>
      <c r="X46" s="42" t="e">
        <f>VLOOKUP($I46,'AnmeldeVSS-Attribute'!$A$2:$H$16,3,FALSE)</f>
        <v>#N/A</v>
      </c>
      <c r="Y46" s="42" t="e">
        <f>VLOOKUP($I46,'AnmeldeVSS-Attribute'!$A$2:$H$16,4,FALSE)</f>
        <v>#N/A</v>
      </c>
      <c r="Z46" s="42" t="e">
        <f>VLOOKUP($I46,'AnmeldeVSS-Attribute'!$A$2:$H$16,5,FALSE)</f>
        <v>#N/A</v>
      </c>
      <c r="AA46" s="42" t="e">
        <f>VLOOKUP($I46,'AnmeldeVSS-Attribute'!$A$2:$H$16,6,FALSE)</f>
        <v>#N/A</v>
      </c>
      <c r="AB46" s="42" t="e">
        <f>VLOOKUP($I46,'AnmeldeVSS-Attribute'!$A$2:$H$16,7,FALSE)</f>
        <v>#N/A</v>
      </c>
      <c r="AC46" s="42" t="e">
        <f>IF(I46="Geldbetrag",J46,(IF(T46="",VLOOKUP($I46,'AnmeldeVSS-Attribute'!$A$2:$H$16,8,FALSE),T46)))</f>
        <v>#N/A</v>
      </c>
      <c r="AD46" s="42">
        <f>IF(S46="",0,VLOOKUP(S46,'AnmeldeVSS-Attribute'!$A$20:$B$26,2,FALSE))</f>
        <v>0</v>
      </c>
      <c r="AE46" s="42" t="e">
        <f t="shared" si="0"/>
        <v>#N/A</v>
      </c>
      <c r="AF46" s="42" t="str">
        <f t="shared" si="1"/>
        <v/>
      </c>
      <c r="AG46" s="42" t="str">
        <f t="shared" si="2"/>
        <v/>
      </c>
      <c r="AH46" s="47" t="str">
        <f t="shared" si="3"/>
        <v/>
      </c>
      <c r="AI46" s="47" t="str">
        <f t="shared" si="4"/>
        <v/>
      </c>
      <c r="AJ46" s="42" t="str">
        <f>IF(O46="",(IF(P46="Ansicht","INSERT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B46 &amp;" ,NULL ,'',349,"&amp; VLOOKUP(Q46,'AnmeldeVSS-Attribute'!$A$43:$B$50,2,FALSE)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B46 &amp;" ,"&amp; O46 &amp;" ,"&amp; IF(Q46="ja","'1'",IF(Q46="nein","'0'","'"&amp;Q46&amp;"'")) &amp;","&amp;IF(P46="enthält",349,IF(P46="nicht leer",352,IF(P46="enthält nicht",350,IF(P46="leer",351,0)))) &amp;" ,NULL ,GetDate() ,'scrc' ,GetDate() ,'scrc')")</f>
        <v/>
      </c>
      <c r="AK4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7" spans="1:37" s="35" customFormat="1" x14ac:dyDescent="0.25">
      <c r="A47" s="36"/>
      <c r="B47" s="36"/>
      <c r="C47" s="64"/>
      <c r="D47" s="64"/>
      <c r="E47" s="63"/>
      <c r="F47" s="64"/>
      <c r="G47" s="64"/>
      <c r="H47" s="64"/>
      <c r="I47" s="64"/>
      <c r="J47" s="64"/>
      <c r="K47" s="64"/>
      <c r="L47" s="64"/>
      <c r="M47" s="63"/>
      <c r="N47" s="63"/>
      <c r="O47" s="63"/>
      <c r="P47" s="63"/>
      <c r="Q47" s="64"/>
      <c r="R47" s="63"/>
      <c r="S47" s="63"/>
      <c r="T47" s="65"/>
      <c r="U47" s="65"/>
      <c r="W47" s="42" t="e">
        <f>VLOOKUP($I47,'AnmeldeVSS-Attribute'!$A$2:$H$16,2,FALSE)</f>
        <v>#N/A</v>
      </c>
      <c r="X47" s="42" t="e">
        <f>VLOOKUP($I47,'AnmeldeVSS-Attribute'!$A$2:$H$16,3,FALSE)</f>
        <v>#N/A</v>
      </c>
      <c r="Y47" s="42" t="e">
        <f>VLOOKUP($I47,'AnmeldeVSS-Attribute'!$A$2:$H$16,4,FALSE)</f>
        <v>#N/A</v>
      </c>
      <c r="Z47" s="42" t="e">
        <f>VLOOKUP($I47,'AnmeldeVSS-Attribute'!$A$2:$H$16,5,FALSE)</f>
        <v>#N/A</v>
      </c>
      <c r="AA47" s="42" t="e">
        <f>VLOOKUP($I47,'AnmeldeVSS-Attribute'!$A$2:$H$16,6,FALSE)</f>
        <v>#N/A</v>
      </c>
      <c r="AB47" s="42" t="e">
        <f>VLOOKUP($I47,'AnmeldeVSS-Attribute'!$A$2:$H$16,7,FALSE)</f>
        <v>#N/A</v>
      </c>
      <c r="AC47" s="42" t="e">
        <f>IF(I47="Geldbetrag",J47,(IF(T47="",VLOOKUP($I47,'AnmeldeVSS-Attribute'!$A$2:$H$16,8,FALSE),T47)))</f>
        <v>#N/A</v>
      </c>
      <c r="AD47" s="42">
        <f>IF(S47="",0,VLOOKUP(S47,'AnmeldeVSS-Attribute'!$A$20:$B$26,2,FALSE))</f>
        <v>0</v>
      </c>
      <c r="AE47" s="42" t="e">
        <f t="shared" si="0"/>
        <v>#N/A</v>
      </c>
      <c r="AF47" s="42" t="str">
        <f t="shared" si="1"/>
        <v/>
      </c>
      <c r="AG47" s="42" t="str">
        <f t="shared" si="2"/>
        <v/>
      </c>
      <c r="AH47" s="47" t="str">
        <f t="shared" si="3"/>
        <v/>
      </c>
      <c r="AI47" s="47" t="str">
        <f t="shared" si="4"/>
        <v/>
      </c>
      <c r="AJ47" s="42" t="str">
        <f>IF(O47="",(IF(P47="Ansicht","INSERT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B47 &amp;" ,NULL ,'',349,"&amp; VLOOKUP(Q47,'AnmeldeVSS-Attribute'!$A$43:$B$50,2,FALSE)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B47 &amp;" ,"&amp; O47 &amp;" ,"&amp; IF(Q47="ja","'1'",IF(Q47="nein","'0'","'"&amp;Q47&amp;"'")) &amp;","&amp;IF(P47="enthält",349,IF(P47="nicht leer",352,IF(P47="enthält nicht",350,IF(P47="leer",351,0)))) &amp;" ,NULL ,GetDate() ,'scrc' ,GetDate() ,'scrc')")</f>
        <v/>
      </c>
      <c r="AK4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8" spans="1:37" s="35" customFormat="1" x14ac:dyDescent="0.25">
      <c r="A48" s="66"/>
      <c r="B48" s="66"/>
      <c r="C48" s="64"/>
      <c r="D48" s="64"/>
      <c r="E48" s="63"/>
      <c r="F48" s="64"/>
      <c r="G48" s="64"/>
      <c r="H48" s="64"/>
      <c r="I48" s="64"/>
      <c r="J48" s="64"/>
      <c r="K48" s="64"/>
      <c r="L48" s="64"/>
      <c r="M48" s="63"/>
      <c r="N48" s="63"/>
      <c r="O48" s="63"/>
      <c r="P48" s="63"/>
      <c r="Q48" s="64"/>
      <c r="R48" s="63"/>
      <c r="S48" s="63"/>
      <c r="T48" s="65"/>
      <c r="U48" s="65"/>
      <c r="W48" s="42" t="e">
        <f>VLOOKUP($I48,'AnmeldeVSS-Attribute'!$A$2:$H$16,2,FALSE)</f>
        <v>#N/A</v>
      </c>
      <c r="X48" s="42" t="e">
        <f>VLOOKUP($I48,'AnmeldeVSS-Attribute'!$A$2:$H$16,3,FALSE)</f>
        <v>#N/A</v>
      </c>
      <c r="Y48" s="42" t="e">
        <f>VLOOKUP($I48,'AnmeldeVSS-Attribute'!$A$2:$H$16,4,FALSE)</f>
        <v>#N/A</v>
      </c>
      <c r="Z48" s="42" t="e">
        <f>VLOOKUP($I48,'AnmeldeVSS-Attribute'!$A$2:$H$16,5,FALSE)</f>
        <v>#N/A</v>
      </c>
      <c r="AA48" s="42" t="e">
        <f>VLOOKUP($I48,'AnmeldeVSS-Attribute'!$A$2:$H$16,6,FALSE)</f>
        <v>#N/A</v>
      </c>
      <c r="AB48" s="42" t="e">
        <f>VLOOKUP($I48,'AnmeldeVSS-Attribute'!$A$2:$H$16,7,FALSE)</f>
        <v>#N/A</v>
      </c>
      <c r="AC48" s="42" t="e">
        <f>IF(I48="Geldbetrag",J48,(IF(T48="",VLOOKUP($I48,'AnmeldeVSS-Attribute'!$A$2:$H$16,8,FALSE),T48)))</f>
        <v>#N/A</v>
      </c>
      <c r="AD48" s="42">
        <f>IF(S48="",0,VLOOKUP(S48,'AnmeldeVSS-Attribute'!$A$20:$B$26,2,FALSE))</f>
        <v>0</v>
      </c>
      <c r="AE48" s="42" t="e">
        <f t="shared" si="0"/>
        <v>#N/A</v>
      </c>
      <c r="AF48" s="42" t="str">
        <f t="shared" si="1"/>
        <v/>
      </c>
      <c r="AG48" s="42" t="str">
        <f t="shared" si="2"/>
        <v/>
      </c>
      <c r="AH48" s="47" t="str">
        <f t="shared" si="3"/>
        <v/>
      </c>
      <c r="AI48" s="47" t="str">
        <f t="shared" si="4"/>
        <v/>
      </c>
      <c r="AJ48" s="42" t="str">
        <f>IF(O48="",(IF(P48="Ansicht","INSERT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B48 &amp;" ,NULL ,'',349,"&amp; VLOOKUP(Q48,'AnmeldeVSS-Attribute'!$A$43:$B$50,2,FALSE)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B48 &amp;" ,"&amp; O48 &amp;" ,"&amp; IF(Q48="ja","'1'",IF(Q48="nein","'0'","'"&amp;Q48&amp;"'")) &amp;","&amp;IF(P48="enthält",349,IF(P48="nicht leer",352,IF(P48="enthält nicht",350,IF(P48="leer",351,0)))) &amp;" ,NULL ,GetDate() ,'scrc' ,GetDate() ,'scrc')")</f>
        <v/>
      </c>
      <c r="AK4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49" spans="1:37" x14ac:dyDescent="0.25">
      <c r="A49" s="36"/>
      <c r="B49" s="36"/>
      <c r="C49" s="64"/>
      <c r="D49" s="64"/>
      <c r="E49" s="63"/>
      <c r="F49" s="64"/>
      <c r="G49" s="64"/>
      <c r="H49" s="64"/>
      <c r="I49" s="64"/>
      <c r="J49" s="64"/>
      <c r="K49" s="64"/>
      <c r="L49" s="64"/>
      <c r="M49" s="63"/>
      <c r="N49" s="63"/>
      <c r="O49" s="63"/>
      <c r="P49" s="63"/>
      <c r="Q49" s="64"/>
      <c r="R49" s="63"/>
      <c r="S49" s="63"/>
      <c r="T49" s="65"/>
      <c r="U49" s="65"/>
      <c r="W49" s="42" t="e">
        <f>VLOOKUP($I49,'AnmeldeVSS-Attribute'!$A$2:$H$16,2,FALSE)</f>
        <v>#N/A</v>
      </c>
      <c r="X49" s="42" t="e">
        <f>VLOOKUP($I49,'AnmeldeVSS-Attribute'!$A$2:$H$16,3,FALSE)</f>
        <v>#N/A</v>
      </c>
      <c r="Y49" s="42" t="e">
        <f>VLOOKUP($I49,'AnmeldeVSS-Attribute'!$A$2:$H$16,4,FALSE)</f>
        <v>#N/A</v>
      </c>
      <c r="Z49" s="42" t="e">
        <f>VLOOKUP($I49,'AnmeldeVSS-Attribute'!$A$2:$H$16,5,FALSE)</f>
        <v>#N/A</v>
      </c>
      <c r="AA49" s="42" t="e">
        <f>VLOOKUP($I49,'AnmeldeVSS-Attribute'!$A$2:$H$16,6,FALSE)</f>
        <v>#N/A</v>
      </c>
      <c r="AB49" s="42" t="e">
        <f>VLOOKUP($I49,'AnmeldeVSS-Attribute'!$A$2:$H$16,7,FALSE)</f>
        <v>#N/A</v>
      </c>
      <c r="AC49" s="42" t="e">
        <f>IF(I49="Geldbetrag",J49,(IF(T49="",VLOOKUP($I49,'AnmeldeVSS-Attribute'!$A$2:$H$16,8,FALSE),T49)))</f>
        <v>#N/A</v>
      </c>
      <c r="AD49" s="42">
        <f>IF(S49="",0,VLOOKUP(S49,'AnmeldeVSS-Attribute'!$A$20:$B$26,2,FALSE))</f>
        <v>0</v>
      </c>
      <c r="AE49" s="42" t="e">
        <f t="shared" si="0"/>
        <v>#N/A</v>
      </c>
      <c r="AF49" s="42" t="str">
        <f t="shared" si="1"/>
        <v/>
      </c>
      <c r="AG49" s="42" t="str">
        <f t="shared" si="2"/>
        <v/>
      </c>
      <c r="AH49" s="47" t="str">
        <f t="shared" si="3"/>
        <v/>
      </c>
      <c r="AI49" s="47" t="str">
        <f t="shared" si="4"/>
        <v/>
      </c>
      <c r="AJ49" s="42" t="str">
        <f>IF(O49="",(IF(P49="Ansicht","INSERT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B49 &amp;" ,NULL ,'',349,"&amp; VLOOKUP(Q49,'AnmeldeVSS-Attribute'!$A$43:$B$50,2,FALSE)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B49 &amp;" ,"&amp; O49 &amp;" ,"&amp; IF(Q49="ja","'1'",IF(Q49="nein","'0'","'"&amp;Q49&amp;"'")) &amp;","&amp;IF(P49="enthält",349,IF(P49="nicht leer",352,IF(P49="enthält nicht",350,IF(P49="leer",351,0)))) &amp;" ,NULL ,GetDate() ,'scrc' ,GetDate() ,'scrc')")</f>
        <v/>
      </c>
      <c r="AK49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0" spans="1:37" x14ac:dyDescent="0.25">
      <c r="A50" s="66"/>
      <c r="B50" s="66"/>
      <c r="C50" s="64"/>
      <c r="D50" s="64"/>
      <c r="E50" s="63"/>
      <c r="F50" s="64"/>
      <c r="G50" s="64"/>
      <c r="H50" s="64"/>
      <c r="I50" s="64"/>
      <c r="J50" s="64"/>
      <c r="K50" s="64"/>
      <c r="L50" s="64"/>
      <c r="M50" s="63"/>
      <c r="N50" s="63"/>
      <c r="O50" s="63"/>
      <c r="P50" s="63"/>
      <c r="Q50" s="64"/>
      <c r="R50" s="63"/>
      <c r="S50" s="63"/>
      <c r="T50" s="65"/>
      <c r="U50" s="65"/>
      <c r="W50" s="42" t="e">
        <f>VLOOKUP($I50,'AnmeldeVSS-Attribute'!$A$2:$H$16,2,FALSE)</f>
        <v>#N/A</v>
      </c>
      <c r="X50" s="42" t="e">
        <f>VLOOKUP($I50,'AnmeldeVSS-Attribute'!$A$2:$H$16,3,FALSE)</f>
        <v>#N/A</v>
      </c>
      <c r="Y50" s="42" t="e">
        <f>VLOOKUP($I50,'AnmeldeVSS-Attribute'!$A$2:$H$16,4,FALSE)</f>
        <v>#N/A</v>
      </c>
      <c r="Z50" s="42" t="e">
        <f>VLOOKUP($I50,'AnmeldeVSS-Attribute'!$A$2:$H$16,5,FALSE)</f>
        <v>#N/A</v>
      </c>
      <c r="AA50" s="42" t="e">
        <f>VLOOKUP($I50,'AnmeldeVSS-Attribute'!$A$2:$H$16,6,FALSE)</f>
        <v>#N/A</v>
      </c>
      <c r="AB50" s="42" t="e">
        <f>VLOOKUP($I50,'AnmeldeVSS-Attribute'!$A$2:$H$16,7,FALSE)</f>
        <v>#N/A</v>
      </c>
      <c r="AC50" s="42" t="e">
        <f>IF(I50="Geldbetrag",J50,(IF(T50="",VLOOKUP($I50,'AnmeldeVSS-Attribute'!$A$2:$H$16,8,FALSE),T50)))</f>
        <v>#N/A</v>
      </c>
      <c r="AD50" s="42">
        <f>IF(S50="",0,VLOOKUP(S50,'AnmeldeVSS-Attribute'!$A$20:$B$26,2,FALSE))</f>
        <v>0</v>
      </c>
      <c r="AE50" s="42" t="e">
        <f t="shared" si="0"/>
        <v>#N/A</v>
      </c>
      <c r="AF50" s="42" t="str">
        <f t="shared" si="1"/>
        <v/>
      </c>
      <c r="AG50" s="42" t="str">
        <f t="shared" si="2"/>
        <v/>
      </c>
      <c r="AH50" s="47" t="str">
        <f t="shared" si="3"/>
        <v/>
      </c>
      <c r="AI50" s="47" t="str">
        <f t="shared" si="4"/>
        <v/>
      </c>
      <c r="AJ50" s="42" t="str">
        <f>IF(O50="",(IF(P50="Ansicht","INSERT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B50 &amp;" ,NULL ,'',349,"&amp; VLOOKUP(Q50,'AnmeldeVSS-Attribute'!$A$43:$B$50,2,FALSE)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B50 &amp;" ,"&amp; O50 &amp;" ,"&amp; IF(Q50="ja","'1'",IF(Q50="nein","'0'","'"&amp;Q50&amp;"'")) &amp;","&amp;IF(P50="enthält",349,IF(P50="nicht leer",352,IF(P50="enthält nicht",350,IF(P50="leer",351,0)))) &amp;" ,NULL ,GetDate() ,'scrc' ,GetDate() ,'scrc')")</f>
        <v/>
      </c>
      <c r="AK5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1" spans="1:37" x14ac:dyDescent="0.25">
      <c r="A51" s="36"/>
      <c r="B51" s="36"/>
      <c r="C51" s="64"/>
      <c r="D51" s="64"/>
      <c r="E51" s="63"/>
      <c r="F51" s="64"/>
      <c r="G51" s="64"/>
      <c r="H51" s="64"/>
      <c r="I51" s="64"/>
      <c r="J51" s="64"/>
      <c r="K51" s="64"/>
      <c r="L51" s="64"/>
      <c r="M51" s="63"/>
      <c r="N51" s="63"/>
      <c r="O51" s="63"/>
      <c r="P51" s="63"/>
      <c r="Q51" s="64"/>
      <c r="R51" s="63"/>
      <c r="S51" s="63"/>
      <c r="T51" s="65"/>
      <c r="U51" s="65"/>
      <c r="W51" s="42" t="e">
        <f>VLOOKUP($I51,'AnmeldeVSS-Attribute'!$A$2:$H$16,2,FALSE)</f>
        <v>#N/A</v>
      </c>
      <c r="X51" s="42" t="e">
        <f>VLOOKUP($I51,'AnmeldeVSS-Attribute'!$A$2:$H$16,3,FALSE)</f>
        <v>#N/A</v>
      </c>
      <c r="Y51" s="42" t="e">
        <f>VLOOKUP($I51,'AnmeldeVSS-Attribute'!$A$2:$H$16,4,FALSE)</f>
        <v>#N/A</v>
      </c>
      <c r="Z51" s="42" t="e">
        <f>VLOOKUP($I51,'AnmeldeVSS-Attribute'!$A$2:$H$16,5,FALSE)</f>
        <v>#N/A</v>
      </c>
      <c r="AA51" s="42" t="e">
        <f>VLOOKUP($I51,'AnmeldeVSS-Attribute'!$A$2:$H$16,6,FALSE)</f>
        <v>#N/A</v>
      </c>
      <c r="AB51" s="42" t="e">
        <f>VLOOKUP($I51,'AnmeldeVSS-Attribute'!$A$2:$H$16,7,FALSE)</f>
        <v>#N/A</v>
      </c>
      <c r="AC51" s="42" t="e">
        <f>IF(I51="Geldbetrag",J51,(IF(T51="",VLOOKUP($I51,'AnmeldeVSS-Attribute'!$A$2:$H$16,8,FALSE),T51)))</f>
        <v>#N/A</v>
      </c>
      <c r="AD51" s="42">
        <f>IF(S51="",0,VLOOKUP(S51,'AnmeldeVSS-Attribute'!$A$20:$B$26,2,FALSE))</f>
        <v>0</v>
      </c>
      <c r="AE51" s="42" t="e">
        <f t="shared" si="0"/>
        <v>#N/A</v>
      </c>
      <c r="AF51" s="42" t="str">
        <f t="shared" si="1"/>
        <v/>
      </c>
      <c r="AG51" s="42" t="str">
        <f t="shared" si="2"/>
        <v/>
      </c>
      <c r="AH51" s="47" t="str">
        <f t="shared" si="3"/>
        <v/>
      </c>
      <c r="AI51" s="47" t="str">
        <f t="shared" si="4"/>
        <v/>
      </c>
      <c r="AJ51" s="42" t="str">
        <f>IF(O51="",(IF(P51="Ansicht","INSERT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B51 &amp;" ,NULL ,'',349,"&amp; VLOOKUP(Q51,'AnmeldeVSS-Attribute'!$A$43:$B$50,2,FALSE)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B51 &amp;" ,"&amp; O51 &amp;" ,"&amp; IF(Q51="ja","'1'",IF(Q51="nein","'0'","'"&amp;Q51&amp;"'")) &amp;","&amp;IF(P51="enthält",349,IF(P51="nicht leer",352,IF(P51="enthält nicht",350,IF(P51="leer",351,0)))) &amp;" ,NULL ,GetDate() ,'scrc' ,GetDate() ,'scrc')")</f>
        <v/>
      </c>
      <c r="AK5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2" spans="1:37" x14ac:dyDescent="0.25">
      <c r="A52" s="66"/>
      <c r="B52" s="66"/>
      <c r="C52" s="64"/>
      <c r="D52" s="64"/>
      <c r="E52" s="63"/>
      <c r="F52" s="64"/>
      <c r="G52" s="64"/>
      <c r="H52" s="64"/>
      <c r="I52" s="64"/>
      <c r="J52" s="64"/>
      <c r="K52" s="64"/>
      <c r="L52" s="64"/>
      <c r="M52" s="63"/>
      <c r="N52" s="63"/>
      <c r="O52" s="63"/>
      <c r="P52" s="63"/>
      <c r="Q52" s="64"/>
      <c r="R52" s="63"/>
      <c r="S52" s="63"/>
      <c r="T52" s="65"/>
      <c r="U52" s="65"/>
      <c r="W52" s="42" t="e">
        <f>VLOOKUP($I52,'AnmeldeVSS-Attribute'!$A$2:$H$16,2,FALSE)</f>
        <v>#N/A</v>
      </c>
      <c r="X52" s="42" t="e">
        <f>VLOOKUP($I52,'AnmeldeVSS-Attribute'!$A$2:$H$16,3,FALSE)</f>
        <v>#N/A</v>
      </c>
      <c r="Y52" s="42" t="e">
        <f>VLOOKUP($I52,'AnmeldeVSS-Attribute'!$A$2:$H$16,4,FALSE)</f>
        <v>#N/A</v>
      </c>
      <c r="Z52" s="42" t="e">
        <f>VLOOKUP($I52,'AnmeldeVSS-Attribute'!$A$2:$H$16,5,FALSE)</f>
        <v>#N/A</v>
      </c>
      <c r="AA52" s="42" t="e">
        <f>VLOOKUP($I52,'AnmeldeVSS-Attribute'!$A$2:$H$16,6,FALSE)</f>
        <v>#N/A</v>
      </c>
      <c r="AB52" s="42" t="e">
        <f>VLOOKUP($I52,'AnmeldeVSS-Attribute'!$A$2:$H$16,7,FALSE)</f>
        <v>#N/A</v>
      </c>
      <c r="AC52" s="42" t="e">
        <f>IF(I52="Geldbetrag",J52,(IF(T52="",VLOOKUP($I52,'AnmeldeVSS-Attribute'!$A$2:$H$16,8,FALSE),T52)))</f>
        <v>#N/A</v>
      </c>
      <c r="AD52" s="42">
        <f>IF(S52="",0,VLOOKUP(S52,'AnmeldeVSS-Attribute'!$A$20:$B$26,2,FALSE))</f>
        <v>0</v>
      </c>
      <c r="AE52" s="42" t="e">
        <f t="shared" si="0"/>
        <v>#N/A</v>
      </c>
      <c r="AF52" s="42" t="str">
        <f t="shared" si="1"/>
        <v/>
      </c>
      <c r="AG52" s="42" t="str">
        <f t="shared" si="2"/>
        <v/>
      </c>
      <c r="AH52" s="47" t="str">
        <f t="shared" si="3"/>
        <v/>
      </c>
      <c r="AI52" s="47" t="str">
        <f t="shared" si="4"/>
        <v/>
      </c>
      <c r="AJ52" s="42" t="str">
        <f>IF(O52="",(IF(P52="Ansicht","INSERT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B52 &amp;" ,NULL ,'',349,"&amp; VLOOKUP(Q52,'AnmeldeVSS-Attribute'!$A$43:$B$50,2,FALSE)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B52 &amp;" ,"&amp; O52 &amp;" ,"&amp; IF(Q52="ja","'1'",IF(Q52="nein","'0'","'"&amp;Q52&amp;"'")) &amp;","&amp;IF(P52="enthält",349,IF(P52="nicht leer",352,IF(P52="enthält nicht",350,IF(P52="leer",351,0)))) &amp;" ,NULL ,GetDate() ,'scrc' ,GetDate() ,'scrc')")</f>
        <v/>
      </c>
      <c r="AK5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3" spans="1:37" x14ac:dyDescent="0.25">
      <c r="A53" s="36"/>
      <c r="B53" s="36"/>
      <c r="C53" s="64"/>
      <c r="D53" s="64"/>
      <c r="E53" s="63"/>
      <c r="F53" s="64"/>
      <c r="G53" s="64"/>
      <c r="H53" s="64"/>
      <c r="I53" s="64"/>
      <c r="J53" s="64"/>
      <c r="K53" s="64"/>
      <c r="L53" s="64"/>
      <c r="M53" s="63"/>
      <c r="N53" s="63"/>
      <c r="O53" s="63"/>
      <c r="P53" s="63"/>
      <c r="Q53" s="64"/>
      <c r="R53" s="63"/>
      <c r="S53" s="63"/>
      <c r="T53" s="65"/>
      <c r="U53" s="65"/>
      <c r="W53" s="42" t="e">
        <f>VLOOKUP($I53,'AnmeldeVSS-Attribute'!$A$2:$H$16,2,FALSE)</f>
        <v>#N/A</v>
      </c>
      <c r="X53" s="42" t="e">
        <f>VLOOKUP($I53,'AnmeldeVSS-Attribute'!$A$2:$H$16,3,FALSE)</f>
        <v>#N/A</v>
      </c>
      <c r="Y53" s="42" t="e">
        <f>VLOOKUP($I53,'AnmeldeVSS-Attribute'!$A$2:$H$16,4,FALSE)</f>
        <v>#N/A</v>
      </c>
      <c r="Z53" s="42" t="e">
        <f>VLOOKUP($I53,'AnmeldeVSS-Attribute'!$A$2:$H$16,5,FALSE)</f>
        <v>#N/A</v>
      </c>
      <c r="AA53" s="42" t="e">
        <f>VLOOKUP($I53,'AnmeldeVSS-Attribute'!$A$2:$H$16,6,FALSE)</f>
        <v>#N/A</v>
      </c>
      <c r="AB53" s="42" t="e">
        <f>VLOOKUP($I53,'AnmeldeVSS-Attribute'!$A$2:$H$16,7,FALSE)</f>
        <v>#N/A</v>
      </c>
      <c r="AC53" s="42" t="e">
        <f>IF(I53="Geldbetrag",J53,(IF(T53="",VLOOKUP($I53,'AnmeldeVSS-Attribute'!$A$2:$H$16,8,FALSE),T53)))</f>
        <v>#N/A</v>
      </c>
      <c r="AD53" s="42">
        <f>IF(S53="",0,VLOOKUP(S53,'AnmeldeVSS-Attribute'!$A$20:$B$26,2,FALSE))</f>
        <v>0</v>
      </c>
      <c r="AE53" s="42" t="e">
        <f t="shared" si="0"/>
        <v>#N/A</v>
      </c>
      <c r="AF53" s="42" t="str">
        <f t="shared" si="1"/>
        <v/>
      </c>
      <c r="AG53" s="42" t="str">
        <f t="shared" si="2"/>
        <v/>
      </c>
      <c r="AH53" s="47" t="str">
        <f t="shared" si="3"/>
        <v/>
      </c>
      <c r="AI53" s="47" t="str">
        <f t="shared" si="4"/>
        <v/>
      </c>
      <c r="AJ53" s="42" t="str">
        <f>IF(O53="",(IF(P53="Ansicht","INSERT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B53 &amp;" ,NULL ,'',349,"&amp; VLOOKUP(Q53,'AnmeldeVSS-Attribute'!$A$43:$B$50,2,FALSE)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B53 &amp;" ,"&amp; O53 &amp;" ,"&amp; IF(Q53="ja","'1'",IF(Q53="nein","'0'","'"&amp;Q53&amp;"'")) &amp;","&amp;IF(P53="enthält",349,IF(P53="nicht leer",352,IF(P53="enthält nicht",350,IF(P53="leer",351,0)))) &amp;" ,NULL ,GetDate() ,'scrc' ,GetDate() ,'scrc')")</f>
        <v/>
      </c>
      <c r="AK5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4" spans="1:37" ht="47.45" customHeight="1" x14ac:dyDescent="0.25">
      <c r="A54" s="66"/>
      <c r="B54" s="66"/>
      <c r="C54" s="64"/>
      <c r="D54" s="64"/>
      <c r="E54" s="63"/>
      <c r="F54" s="64"/>
      <c r="G54" s="64"/>
      <c r="H54" s="64"/>
      <c r="I54" s="64"/>
      <c r="J54" s="64"/>
      <c r="K54" s="64"/>
      <c r="L54" s="64"/>
      <c r="M54" s="63"/>
      <c r="N54" s="63"/>
      <c r="O54" s="63"/>
      <c r="P54" s="63"/>
      <c r="Q54" s="64"/>
      <c r="R54" s="63"/>
      <c r="S54" s="63"/>
      <c r="T54" s="65"/>
      <c r="U54" s="65"/>
      <c r="W54" s="42" t="e">
        <f>VLOOKUP($I54,'AnmeldeVSS-Attribute'!$A$2:$H$16,2,FALSE)</f>
        <v>#N/A</v>
      </c>
      <c r="X54" s="42" t="e">
        <f>VLOOKUP($I54,'AnmeldeVSS-Attribute'!$A$2:$H$16,3,FALSE)</f>
        <v>#N/A</v>
      </c>
      <c r="Y54" s="42" t="e">
        <f>VLOOKUP($I54,'AnmeldeVSS-Attribute'!$A$2:$H$16,4,FALSE)</f>
        <v>#N/A</v>
      </c>
      <c r="Z54" s="42" t="e">
        <f>VLOOKUP($I54,'AnmeldeVSS-Attribute'!$A$2:$H$16,5,FALSE)</f>
        <v>#N/A</v>
      </c>
      <c r="AA54" s="42" t="e">
        <f>VLOOKUP($I54,'AnmeldeVSS-Attribute'!$A$2:$H$16,6,FALSE)</f>
        <v>#N/A</v>
      </c>
      <c r="AB54" s="42" t="e">
        <f>VLOOKUP($I54,'AnmeldeVSS-Attribute'!$A$2:$H$16,7,FALSE)</f>
        <v>#N/A</v>
      </c>
      <c r="AC54" s="42" t="e">
        <f>IF(I54="Geldbetrag",J54,(IF(T54="",VLOOKUP($I54,'AnmeldeVSS-Attribute'!$A$2:$H$16,8,FALSE),T54)))</f>
        <v>#N/A</v>
      </c>
      <c r="AD54" s="42">
        <f>IF(S54="",0,VLOOKUP(S54,'AnmeldeVSS-Attribute'!$A$20:$B$26,2,FALSE))</f>
        <v>0</v>
      </c>
      <c r="AE54" s="42" t="e">
        <f t="shared" si="0"/>
        <v>#N/A</v>
      </c>
      <c r="AF54" s="42" t="str">
        <f t="shared" si="1"/>
        <v/>
      </c>
      <c r="AG54" s="42" t="str">
        <f t="shared" si="2"/>
        <v/>
      </c>
      <c r="AH54" s="47" t="str">
        <f t="shared" si="3"/>
        <v/>
      </c>
      <c r="AI54" s="47" t="str">
        <f t="shared" si="4"/>
        <v/>
      </c>
      <c r="AJ54" s="42" t="str">
        <f>IF(O54="",(IF(P54="Ansicht","INSERT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B54 &amp;" ,NULL ,'',349,"&amp; VLOOKUP(Q54,'AnmeldeVSS-Attribute'!$A$43:$B$50,2,FALSE)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B54 &amp;" ,"&amp; O54 &amp;" ,"&amp; IF(Q54="ja","'1'",IF(Q54="nein","'0'","'"&amp;Q54&amp;"'")) &amp;","&amp;IF(P54="enthält",349,IF(P54="nicht leer",352,IF(P54="enthält nicht",350,IF(P54="leer",351,0)))) &amp;" ,NULL ,GetDate() ,'scrc' ,GetDate() ,'scrc')")</f>
        <v/>
      </c>
      <c r="AK5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5" spans="1:37" x14ac:dyDescent="0.25">
      <c r="A55" s="66"/>
      <c r="B55" s="66"/>
      <c r="C55" s="64"/>
      <c r="D55" s="64"/>
      <c r="E55" s="63"/>
      <c r="F55" s="64"/>
      <c r="G55" s="64"/>
      <c r="H55" s="64"/>
      <c r="I55" s="64"/>
      <c r="J55" s="64"/>
      <c r="K55" s="64"/>
      <c r="L55" s="64"/>
      <c r="M55" s="63"/>
      <c r="N55" s="63"/>
      <c r="O55" s="63"/>
      <c r="P55" s="63"/>
      <c r="Q55" s="64"/>
      <c r="R55" s="63"/>
      <c r="S55" s="63"/>
      <c r="T55" s="65"/>
      <c r="U55" s="65"/>
      <c r="W55" s="42" t="e">
        <f>VLOOKUP($I55,'AnmeldeVSS-Attribute'!$A$2:$H$16,2,FALSE)</f>
        <v>#N/A</v>
      </c>
      <c r="X55" s="42" t="e">
        <f>VLOOKUP($I55,'AnmeldeVSS-Attribute'!$A$2:$H$16,3,FALSE)</f>
        <v>#N/A</v>
      </c>
      <c r="Y55" s="42" t="e">
        <f>VLOOKUP($I55,'AnmeldeVSS-Attribute'!$A$2:$H$16,4,FALSE)</f>
        <v>#N/A</v>
      </c>
      <c r="Z55" s="42" t="e">
        <f>VLOOKUP($I55,'AnmeldeVSS-Attribute'!$A$2:$H$16,5,FALSE)</f>
        <v>#N/A</v>
      </c>
      <c r="AA55" s="42" t="e">
        <f>VLOOKUP($I55,'AnmeldeVSS-Attribute'!$A$2:$H$16,6,FALSE)</f>
        <v>#N/A</v>
      </c>
      <c r="AB55" s="42" t="e">
        <f>VLOOKUP($I55,'AnmeldeVSS-Attribute'!$A$2:$H$16,7,FALSE)</f>
        <v>#N/A</v>
      </c>
      <c r="AC55" s="42" t="e">
        <f>IF(I55="Geldbetrag",J55,(IF(T55="",VLOOKUP($I55,'AnmeldeVSS-Attribute'!$A$2:$H$16,8,FALSE),T55)))</f>
        <v>#N/A</v>
      </c>
      <c r="AD55" s="42">
        <f>IF(S55="",0,VLOOKUP(S55,'AnmeldeVSS-Attribute'!$A$20:$B$26,2,FALSE))</f>
        <v>0</v>
      </c>
      <c r="AE55" s="42" t="e">
        <f t="shared" si="0"/>
        <v>#N/A</v>
      </c>
      <c r="AF55" s="42" t="str">
        <f t="shared" si="1"/>
        <v/>
      </c>
      <c r="AG55" s="42" t="str">
        <f t="shared" si="2"/>
        <v/>
      </c>
      <c r="AH55" s="47" t="str">
        <f t="shared" si="3"/>
        <v/>
      </c>
      <c r="AI55" s="47" t="str">
        <f t="shared" si="4"/>
        <v/>
      </c>
      <c r="AJ55" s="42" t="str">
        <f>IF(O55="",(IF(P55="Ansicht","INSERT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B55 &amp;" ,NULL ,'',349,"&amp; VLOOKUP(Q55,'AnmeldeVSS-Attribute'!$A$43:$B$50,2,FALSE)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B55 &amp;" ,"&amp; O55 &amp;" ,"&amp; IF(Q55="ja","'1'",IF(Q55="nein","'0'","'"&amp;Q55&amp;"'")) &amp;","&amp;IF(P55="enthält",349,IF(P55="nicht leer",352,IF(P55="enthält nicht",350,IF(P55="leer",351,0)))) &amp;" ,NULL ,GetDate() ,'scrc' ,GetDate() ,'scrc')")</f>
        <v/>
      </c>
      <c r="AK5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6" spans="1:37" x14ac:dyDescent="0.25">
      <c r="A56" s="66"/>
      <c r="B56" s="66"/>
      <c r="C56" s="64"/>
      <c r="D56" s="64"/>
      <c r="E56" s="63"/>
      <c r="F56" s="64"/>
      <c r="G56" s="64"/>
      <c r="H56" s="64"/>
      <c r="I56" s="64"/>
      <c r="J56" s="64"/>
      <c r="K56" s="64"/>
      <c r="L56" s="64"/>
      <c r="M56" s="63"/>
      <c r="N56" s="63"/>
      <c r="O56" s="63"/>
      <c r="P56" s="63"/>
      <c r="Q56" s="64"/>
      <c r="R56" s="63"/>
      <c r="S56" s="63"/>
      <c r="T56" s="65"/>
      <c r="U56" s="65"/>
      <c r="W56" s="42" t="e">
        <f>VLOOKUP($I56,'AnmeldeVSS-Attribute'!$A$2:$H$16,2,FALSE)</f>
        <v>#N/A</v>
      </c>
      <c r="X56" s="42" t="e">
        <f>VLOOKUP($I56,'AnmeldeVSS-Attribute'!$A$2:$H$16,3,FALSE)</f>
        <v>#N/A</v>
      </c>
      <c r="Y56" s="42" t="e">
        <f>VLOOKUP($I56,'AnmeldeVSS-Attribute'!$A$2:$H$16,4,FALSE)</f>
        <v>#N/A</v>
      </c>
      <c r="Z56" s="42" t="e">
        <f>VLOOKUP($I56,'AnmeldeVSS-Attribute'!$A$2:$H$16,5,FALSE)</f>
        <v>#N/A</v>
      </c>
      <c r="AA56" s="42" t="e">
        <f>VLOOKUP($I56,'AnmeldeVSS-Attribute'!$A$2:$H$16,6,FALSE)</f>
        <v>#N/A</v>
      </c>
      <c r="AB56" s="42" t="e">
        <f>VLOOKUP($I56,'AnmeldeVSS-Attribute'!$A$2:$H$16,7,FALSE)</f>
        <v>#N/A</v>
      </c>
      <c r="AC56" s="42" t="e">
        <f>IF(I56="Geldbetrag",J56,(IF(T56="",VLOOKUP($I56,'AnmeldeVSS-Attribute'!$A$2:$H$16,8,FALSE),T56)))</f>
        <v>#N/A</v>
      </c>
      <c r="AD56" s="42">
        <f>IF(S56="",0,VLOOKUP(S56,'AnmeldeVSS-Attribute'!$A$20:$B$26,2,FALSE))</f>
        <v>0</v>
      </c>
      <c r="AE56" s="42" t="e">
        <f t="shared" si="0"/>
        <v>#N/A</v>
      </c>
      <c r="AF56" s="42" t="str">
        <f t="shared" si="1"/>
        <v/>
      </c>
      <c r="AG56" s="42" t="str">
        <f t="shared" si="2"/>
        <v/>
      </c>
      <c r="AH56" s="47" t="str">
        <f t="shared" si="3"/>
        <v/>
      </c>
      <c r="AI56" s="47" t="str">
        <f t="shared" si="4"/>
        <v/>
      </c>
      <c r="AJ56" s="42" t="str">
        <f>IF(O56="",(IF(P56="Ansicht","INSERT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B56 &amp;" ,NULL ,'',349,"&amp; VLOOKUP(Q56,'AnmeldeVSS-Attribute'!$A$43:$B$50,2,FALSE)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B56 &amp;" ,"&amp; O56 &amp;" ,"&amp; IF(Q56="ja","'1'",IF(Q56="nein","'0'","'"&amp;Q56&amp;"'")) &amp;","&amp;IF(P56="enthält",349,IF(P56="nicht leer",352,IF(P56="enthält nicht",350,IF(P56="leer",351,0)))) &amp;" ,NULL ,GetDate() ,'scrc' ,GetDate() ,'scrc')")</f>
        <v/>
      </c>
      <c r="AK5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7" spans="1:37" x14ac:dyDescent="0.25">
      <c r="A57" s="36"/>
      <c r="B57" s="36"/>
      <c r="C57" s="68"/>
      <c r="D57" s="68"/>
      <c r="E57" s="66"/>
      <c r="F57" s="68"/>
      <c r="G57" s="68"/>
      <c r="H57" s="68"/>
      <c r="I57" s="68"/>
      <c r="J57" s="68"/>
      <c r="K57" s="68"/>
      <c r="L57" s="68"/>
      <c r="M57" s="66"/>
      <c r="N57" s="66"/>
      <c r="O57" s="66"/>
      <c r="P57" s="66"/>
      <c r="Q57" s="68"/>
      <c r="R57" s="66"/>
      <c r="S57" s="66"/>
      <c r="T57" s="65"/>
      <c r="U57" s="65"/>
      <c r="W57" s="42" t="e">
        <f>VLOOKUP($I57,'AnmeldeVSS-Attribute'!$A$2:$H$16,2,FALSE)</f>
        <v>#N/A</v>
      </c>
      <c r="X57" s="42" t="e">
        <f>VLOOKUP($I57,'AnmeldeVSS-Attribute'!$A$2:$H$16,3,FALSE)</f>
        <v>#N/A</v>
      </c>
      <c r="Y57" s="42" t="e">
        <f>VLOOKUP($I57,'AnmeldeVSS-Attribute'!$A$2:$H$16,4,FALSE)</f>
        <v>#N/A</v>
      </c>
      <c r="Z57" s="42" t="e">
        <f>VLOOKUP($I57,'AnmeldeVSS-Attribute'!$A$2:$H$16,5,FALSE)</f>
        <v>#N/A</v>
      </c>
      <c r="AA57" s="42" t="e">
        <f>VLOOKUP($I57,'AnmeldeVSS-Attribute'!$A$2:$H$16,6,FALSE)</f>
        <v>#N/A</v>
      </c>
      <c r="AB57" s="42" t="e">
        <f>VLOOKUP($I57,'AnmeldeVSS-Attribute'!$A$2:$H$16,7,FALSE)</f>
        <v>#N/A</v>
      </c>
      <c r="AC57" s="42" t="e">
        <f>IF(I57="Geldbetrag",J57,(IF(T57="",VLOOKUP($I57,'AnmeldeVSS-Attribute'!$A$2:$H$16,8,FALSE),T57)))</f>
        <v>#N/A</v>
      </c>
      <c r="AD57" s="42">
        <f>IF(S57="",0,VLOOKUP(S57,'AnmeldeVSS-Attribute'!$A$20:$B$26,2,FALSE))</f>
        <v>0</v>
      </c>
      <c r="AE57" s="42" t="e">
        <f t="shared" si="0"/>
        <v>#N/A</v>
      </c>
      <c r="AF57" s="42" t="str">
        <f t="shared" si="1"/>
        <v/>
      </c>
      <c r="AG57" s="42" t="str">
        <f t="shared" si="2"/>
        <v/>
      </c>
      <c r="AH57" s="47" t="str">
        <f t="shared" si="3"/>
        <v/>
      </c>
      <c r="AI57" s="47" t="str">
        <f t="shared" si="4"/>
        <v/>
      </c>
      <c r="AJ57" s="42" t="str">
        <f>IF(O57="",(IF(P57="Ansicht","INSERT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B57 &amp;" ,NULL ,'',349,"&amp; VLOOKUP(Q57,'AnmeldeVSS-Attribute'!$A$43:$B$50,2,FALSE)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B57 &amp;" ,"&amp; O57 &amp;" ,"&amp; IF(Q57="ja","'1'",IF(Q57="nein","'0'","'"&amp;Q57&amp;"'")) &amp;","&amp;IF(P57="enthält",349,IF(P57="nicht leer",352,IF(P57="enthält nicht",350,IF(P57="leer",351,0)))) &amp;" ,NULL ,GetDate() ,'scrc' ,GetDate() ,'scrc')")</f>
        <v/>
      </c>
      <c r="AK5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8" spans="1:37" x14ac:dyDescent="0.25">
      <c r="A58" s="66"/>
      <c r="B58" s="66"/>
      <c r="C58" s="64"/>
      <c r="D58" s="64"/>
      <c r="E58" s="63"/>
      <c r="F58" s="64"/>
      <c r="G58" s="64"/>
      <c r="H58" s="64"/>
      <c r="I58" s="64"/>
      <c r="J58" s="64"/>
      <c r="K58" s="64"/>
      <c r="L58" s="64"/>
      <c r="M58" s="63"/>
      <c r="N58" s="63"/>
      <c r="O58" s="63"/>
      <c r="P58" s="63"/>
      <c r="Q58" s="64"/>
      <c r="R58" s="63"/>
      <c r="S58" s="63"/>
      <c r="T58" s="65"/>
      <c r="U58" s="65"/>
      <c r="W58" s="42" t="e">
        <f>VLOOKUP($I58,'AnmeldeVSS-Attribute'!$A$2:$H$16,2,FALSE)</f>
        <v>#N/A</v>
      </c>
      <c r="X58" s="42" t="e">
        <f>VLOOKUP($I58,'AnmeldeVSS-Attribute'!$A$2:$H$16,3,FALSE)</f>
        <v>#N/A</v>
      </c>
      <c r="Y58" s="42" t="e">
        <f>VLOOKUP($I58,'AnmeldeVSS-Attribute'!$A$2:$H$16,4,FALSE)</f>
        <v>#N/A</v>
      </c>
      <c r="Z58" s="42" t="e">
        <f>VLOOKUP($I58,'AnmeldeVSS-Attribute'!$A$2:$H$16,5,FALSE)</f>
        <v>#N/A</v>
      </c>
      <c r="AA58" s="42" t="e">
        <f>VLOOKUP($I58,'AnmeldeVSS-Attribute'!$A$2:$H$16,6,FALSE)</f>
        <v>#N/A</v>
      </c>
      <c r="AB58" s="42" t="e">
        <f>VLOOKUP($I58,'AnmeldeVSS-Attribute'!$A$2:$H$16,7,FALSE)</f>
        <v>#N/A</v>
      </c>
      <c r="AC58" s="42" t="e">
        <f>IF(I58="Geldbetrag",J58,(IF(T58="",VLOOKUP($I58,'AnmeldeVSS-Attribute'!$A$2:$H$16,8,FALSE),T58)))</f>
        <v>#N/A</v>
      </c>
      <c r="AD58" s="42">
        <f>IF(S58="",0,VLOOKUP(S58,'AnmeldeVSS-Attribute'!$A$20:$B$26,2,FALSE))</f>
        <v>0</v>
      </c>
      <c r="AE58" s="42" t="e">
        <f t="shared" si="0"/>
        <v>#N/A</v>
      </c>
      <c r="AF58" s="42" t="str">
        <f t="shared" si="1"/>
        <v/>
      </c>
      <c r="AG58" s="42" t="str">
        <f t="shared" si="2"/>
        <v/>
      </c>
      <c r="AH58" s="47" t="str">
        <f t="shared" si="3"/>
        <v/>
      </c>
      <c r="AI58" s="47" t="str">
        <f t="shared" si="4"/>
        <v/>
      </c>
      <c r="AJ58" s="42" t="str">
        <f>IF(O58="",(IF(P58="Ansicht","INSERT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B58 &amp;" ,NULL ,'',349,"&amp; VLOOKUP(Q58,'AnmeldeVSS-Attribute'!$A$43:$B$50,2,FALSE)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B58 &amp;" ,"&amp; O58 &amp;" ,"&amp; IF(Q58="ja","'1'",IF(Q58="nein","'0'","'"&amp;Q58&amp;"'")) &amp;","&amp;IF(P58="enthält",349,IF(P58="nicht leer",352,IF(P58="enthält nicht",350,IF(P58="leer",351,0)))) &amp;" ,NULL ,GetDate() ,'scrc' ,GetDate() ,'scrc')")</f>
        <v/>
      </c>
      <c r="AK5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59" spans="1:37" x14ac:dyDescent="0.25">
      <c r="A59" s="36"/>
      <c r="B59" s="36"/>
      <c r="C59" s="68"/>
      <c r="D59" s="68"/>
      <c r="E59" s="66"/>
      <c r="F59" s="68"/>
      <c r="G59" s="68"/>
      <c r="H59" s="68"/>
      <c r="I59" s="68"/>
      <c r="J59" s="68"/>
      <c r="K59" s="68"/>
      <c r="L59" s="68"/>
      <c r="M59" s="66"/>
      <c r="N59" s="66"/>
      <c r="O59" s="66"/>
      <c r="P59" s="66"/>
      <c r="Q59" s="68"/>
      <c r="R59" s="66"/>
      <c r="S59" s="66"/>
      <c r="T59" s="65"/>
      <c r="U59" s="65"/>
      <c r="W59" s="42" t="e">
        <f>VLOOKUP($I59,'AnmeldeVSS-Attribute'!$A$2:$H$16,2,FALSE)</f>
        <v>#N/A</v>
      </c>
      <c r="X59" s="42" t="e">
        <f>VLOOKUP($I59,'AnmeldeVSS-Attribute'!$A$2:$H$16,3,FALSE)</f>
        <v>#N/A</v>
      </c>
      <c r="Y59" s="42" t="e">
        <f>VLOOKUP($I59,'AnmeldeVSS-Attribute'!$A$2:$H$16,4,FALSE)</f>
        <v>#N/A</v>
      </c>
      <c r="Z59" s="42" t="e">
        <f>VLOOKUP($I59,'AnmeldeVSS-Attribute'!$A$2:$H$16,5,FALSE)</f>
        <v>#N/A</v>
      </c>
      <c r="AA59" s="42" t="e">
        <f>VLOOKUP($I59,'AnmeldeVSS-Attribute'!$A$2:$H$16,6,FALSE)</f>
        <v>#N/A</v>
      </c>
      <c r="AB59" s="42" t="e">
        <f>VLOOKUP($I59,'AnmeldeVSS-Attribute'!$A$2:$H$16,7,FALSE)</f>
        <v>#N/A</v>
      </c>
      <c r="AC59" s="42" t="e">
        <f>IF(I59="Geldbetrag",J59,(IF(T59="",VLOOKUP($I59,'AnmeldeVSS-Attribute'!$A$2:$H$16,8,FALSE),T59)))</f>
        <v>#N/A</v>
      </c>
      <c r="AD59" s="42">
        <f>IF(S59="",0,VLOOKUP(S59,'AnmeldeVSS-Attribute'!$A$20:$B$26,2,FALSE))</f>
        <v>0</v>
      </c>
      <c r="AE59" s="42" t="e">
        <f t="shared" si="0"/>
        <v>#N/A</v>
      </c>
      <c r="AF59" s="42" t="str">
        <f t="shared" si="1"/>
        <v/>
      </c>
      <c r="AG59" s="42" t="str">
        <f t="shared" si="2"/>
        <v/>
      </c>
      <c r="AH59" s="47" t="str">
        <f t="shared" si="3"/>
        <v/>
      </c>
      <c r="AI59" s="47" t="str">
        <f t="shared" si="4"/>
        <v/>
      </c>
      <c r="AJ59" s="42" t="str">
        <f>IF(O59="",(IF(P59="Ansicht","INSERT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B59 &amp;" ,NULL ,'',349,"&amp; VLOOKUP(Q59,'AnmeldeVSS-Attribute'!$A$43:$B$50,2,FALSE)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B59 &amp;" ,"&amp; O59 &amp;" ,"&amp; IF(Q59="ja","'1'",IF(Q59="nein","'0'","'"&amp;Q59&amp;"'")) &amp;","&amp;IF(P59="enthält",349,IF(P59="nicht leer",352,IF(P59="enthält nicht",350,IF(P59="leer",351,0)))) &amp;" ,NULL ,GetDate() ,'scrc' ,GetDate() ,'scrc')")</f>
        <v/>
      </c>
      <c r="AK59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0" spans="1:37" x14ac:dyDescent="0.25">
      <c r="A60" s="36"/>
      <c r="B60" s="36"/>
      <c r="C60" s="68"/>
      <c r="D60" s="68"/>
      <c r="E60" s="66"/>
      <c r="F60" s="68"/>
      <c r="G60" s="68"/>
      <c r="H60" s="68"/>
      <c r="I60" s="68"/>
      <c r="J60" s="68"/>
      <c r="K60" s="53"/>
      <c r="L60" s="68"/>
      <c r="M60" s="66"/>
      <c r="N60" s="66"/>
      <c r="O60" s="66"/>
      <c r="P60" s="66"/>
      <c r="Q60" s="68"/>
      <c r="R60" s="66"/>
      <c r="S60" s="66"/>
      <c r="T60" s="65"/>
      <c r="U60" s="65"/>
      <c r="W60" s="42" t="e">
        <f>VLOOKUP($I60,'AnmeldeVSS-Attribute'!$A$2:$H$16,2,FALSE)</f>
        <v>#N/A</v>
      </c>
      <c r="X60" s="42" t="e">
        <f>VLOOKUP($I60,'AnmeldeVSS-Attribute'!$A$2:$H$16,3,FALSE)</f>
        <v>#N/A</v>
      </c>
      <c r="Y60" s="42" t="e">
        <f>VLOOKUP($I60,'AnmeldeVSS-Attribute'!$A$2:$H$16,4,FALSE)</f>
        <v>#N/A</v>
      </c>
      <c r="Z60" s="42" t="e">
        <f>VLOOKUP($I60,'AnmeldeVSS-Attribute'!$A$2:$H$16,5,FALSE)</f>
        <v>#N/A</v>
      </c>
      <c r="AA60" s="42" t="e">
        <f>VLOOKUP($I60,'AnmeldeVSS-Attribute'!$A$2:$H$16,6,FALSE)</f>
        <v>#N/A</v>
      </c>
      <c r="AB60" s="42" t="e">
        <f>VLOOKUP($I60,'AnmeldeVSS-Attribute'!$A$2:$H$16,7,FALSE)</f>
        <v>#N/A</v>
      </c>
      <c r="AC60" s="42" t="e">
        <f>IF(I60="Geldbetrag",J60,(IF(T60="",VLOOKUP($I60,'AnmeldeVSS-Attribute'!$A$2:$H$16,8,FALSE),T60)))</f>
        <v>#N/A</v>
      </c>
      <c r="AD60" s="42">
        <f>IF(S60="",0,VLOOKUP(S60,'AnmeldeVSS-Attribute'!$A$20:$B$26,2,FALSE))</f>
        <v>0</v>
      </c>
      <c r="AE60" s="42" t="e">
        <f t="shared" si="0"/>
        <v>#N/A</v>
      </c>
      <c r="AF60" s="42" t="str">
        <f t="shared" si="1"/>
        <v/>
      </c>
      <c r="AG60" s="42" t="str">
        <f t="shared" si="2"/>
        <v/>
      </c>
      <c r="AH60" s="47" t="str">
        <f t="shared" si="3"/>
        <v/>
      </c>
      <c r="AI60" s="47" t="str">
        <f t="shared" si="4"/>
        <v/>
      </c>
      <c r="AJ60" s="42" t="str">
        <f>IF(O60="",(IF(P60="Ansicht","INSERT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B60 &amp;" ,NULL ,'',349,"&amp; VLOOKUP(Q60,'AnmeldeVSS-Attribute'!$A$43:$B$50,2,FALSE)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B60 &amp;" ,"&amp; O60 &amp;" ,"&amp; IF(Q60="ja","'1'",IF(Q60="nein","'0'","'"&amp;Q60&amp;"'")) &amp;","&amp;IF(P60="enthält",349,IF(P60="nicht leer",352,IF(P60="enthält nicht",350,IF(P60="leer",351,0)))) &amp;" ,NULL ,GetDate() ,'scrc' ,GetDate() ,'scrc')")</f>
        <v/>
      </c>
      <c r="AK6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1" spans="1:37" x14ac:dyDescent="0.25">
      <c r="A61" s="36"/>
      <c r="B61" s="36"/>
      <c r="C61" s="64"/>
      <c r="D61" s="64"/>
      <c r="E61" s="63"/>
      <c r="F61" s="64"/>
      <c r="G61" s="64"/>
      <c r="H61" s="64"/>
      <c r="I61" s="64"/>
      <c r="J61" s="64"/>
      <c r="K61" s="64"/>
      <c r="L61" s="64"/>
      <c r="M61" s="63"/>
      <c r="N61" s="63"/>
      <c r="O61" s="63"/>
      <c r="P61" s="63"/>
      <c r="Q61" s="64"/>
      <c r="R61" s="63"/>
      <c r="S61" s="63"/>
      <c r="T61" s="65"/>
      <c r="U61" s="65"/>
      <c r="W61" s="42" t="e">
        <f>VLOOKUP($I61,'AnmeldeVSS-Attribute'!$A$2:$H$16,2,FALSE)</f>
        <v>#N/A</v>
      </c>
      <c r="X61" s="42" t="e">
        <f>VLOOKUP($I61,'AnmeldeVSS-Attribute'!$A$2:$H$16,3,FALSE)</f>
        <v>#N/A</v>
      </c>
      <c r="Y61" s="42" t="e">
        <f>VLOOKUP($I61,'AnmeldeVSS-Attribute'!$A$2:$H$16,4,FALSE)</f>
        <v>#N/A</v>
      </c>
      <c r="Z61" s="42" t="e">
        <f>VLOOKUP($I61,'AnmeldeVSS-Attribute'!$A$2:$H$16,5,FALSE)</f>
        <v>#N/A</v>
      </c>
      <c r="AA61" s="42" t="e">
        <f>VLOOKUP($I61,'AnmeldeVSS-Attribute'!$A$2:$H$16,6,FALSE)</f>
        <v>#N/A</v>
      </c>
      <c r="AB61" s="42" t="e">
        <f>VLOOKUP($I61,'AnmeldeVSS-Attribute'!$A$2:$H$16,7,FALSE)</f>
        <v>#N/A</v>
      </c>
      <c r="AC61" s="42" t="e">
        <f>IF(I61="Geldbetrag",J61,(IF(T61="",VLOOKUP($I61,'AnmeldeVSS-Attribute'!$A$2:$H$16,8,FALSE),T61)))</f>
        <v>#N/A</v>
      </c>
      <c r="AD61" s="42">
        <f>IF(S61="",0,VLOOKUP(S61,'AnmeldeVSS-Attribute'!$A$20:$B$26,2,FALSE))</f>
        <v>0</v>
      </c>
      <c r="AE61" s="42" t="e">
        <f t="shared" si="0"/>
        <v>#N/A</v>
      </c>
      <c r="AF61" s="42" t="str">
        <f t="shared" si="1"/>
        <v/>
      </c>
      <c r="AG61" s="42" t="str">
        <f t="shared" si="2"/>
        <v/>
      </c>
      <c r="AH61" s="47" t="str">
        <f t="shared" si="3"/>
        <v/>
      </c>
      <c r="AI61" s="47" t="str">
        <f t="shared" si="4"/>
        <v/>
      </c>
      <c r="AJ61" s="42" t="str">
        <f>IF(O61="",(IF(P61="Ansicht","INSERT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B61 &amp;" ,NULL ,'',349,"&amp; VLOOKUP(Q61,'AnmeldeVSS-Attribute'!$A$43:$B$50,2,FALSE)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B61 &amp;" ,"&amp; O61 &amp;" ,"&amp; IF(Q61="ja","'1'",IF(Q61="nein","'0'","'"&amp;Q61&amp;"'")) &amp;","&amp;IF(P61="enthält",349,IF(P61="nicht leer",352,IF(P61="enthält nicht",350,IF(P61="leer",351,0)))) &amp;" ,NULL ,GetDate() ,'scrc' ,GetDate() ,'scrc')")</f>
        <v/>
      </c>
      <c r="AK6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2" spans="1:37" x14ac:dyDescent="0.25">
      <c r="A62" s="66"/>
      <c r="B62" s="66"/>
      <c r="C62" s="68"/>
      <c r="D62" s="68"/>
      <c r="E62" s="66"/>
      <c r="F62" s="68"/>
      <c r="G62" s="68"/>
      <c r="H62" s="68"/>
      <c r="I62" s="68"/>
      <c r="J62" s="68"/>
      <c r="K62" s="68"/>
      <c r="L62" s="68"/>
      <c r="M62" s="66"/>
      <c r="N62" s="66"/>
      <c r="O62" s="66"/>
      <c r="P62" s="66"/>
      <c r="Q62" s="68"/>
      <c r="R62" s="66"/>
      <c r="S62" s="66"/>
      <c r="T62" s="65"/>
      <c r="U62" s="65"/>
      <c r="W62" s="42" t="e">
        <f>VLOOKUP($I62,'AnmeldeVSS-Attribute'!$A$2:$H$16,2,FALSE)</f>
        <v>#N/A</v>
      </c>
      <c r="X62" s="42" t="e">
        <f>VLOOKUP($I62,'AnmeldeVSS-Attribute'!$A$2:$H$16,3,FALSE)</f>
        <v>#N/A</v>
      </c>
      <c r="Y62" s="42" t="e">
        <f>VLOOKUP($I62,'AnmeldeVSS-Attribute'!$A$2:$H$16,4,FALSE)</f>
        <v>#N/A</v>
      </c>
      <c r="Z62" s="42" t="e">
        <f>VLOOKUP($I62,'AnmeldeVSS-Attribute'!$A$2:$H$16,5,FALSE)</f>
        <v>#N/A</v>
      </c>
      <c r="AA62" s="42" t="e">
        <f>VLOOKUP($I62,'AnmeldeVSS-Attribute'!$A$2:$H$16,6,FALSE)</f>
        <v>#N/A</v>
      </c>
      <c r="AB62" s="42" t="e">
        <f>VLOOKUP($I62,'AnmeldeVSS-Attribute'!$A$2:$H$16,7,FALSE)</f>
        <v>#N/A</v>
      </c>
      <c r="AC62" s="42" t="e">
        <f>IF(I62="Geldbetrag",J62,(IF(T62="",VLOOKUP($I62,'AnmeldeVSS-Attribute'!$A$2:$H$16,8,FALSE),T62)))</f>
        <v>#N/A</v>
      </c>
      <c r="AD62" s="42">
        <f>IF(S62="",0,VLOOKUP(S62,'AnmeldeVSS-Attribute'!$A$20:$B$26,2,FALSE))</f>
        <v>0</v>
      </c>
      <c r="AE62" s="42" t="e">
        <f t="shared" si="0"/>
        <v>#N/A</v>
      </c>
      <c r="AF62" s="42" t="str">
        <f t="shared" si="1"/>
        <v/>
      </c>
      <c r="AG62" s="42" t="str">
        <f t="shared" si="2"/>
        <v/>
      </c>
      <c r="AH62" s="47" t="str">
        <f t="shared" si="3"/>
        <v/>
      </c>
      <c r="AI62" s="47" t="str">
        <f t="shared" si="4"/>
        <v/>
      </c>
      <c r="AJ62" s="42" t="str">
        <f>IF(O62="",(IF(P62="Ansicht","INSERT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B62 &amp;" ,NULL ,'',349,"&amp; VLOOKUP(Q62,'AnmeldeVSS-Attribute'!$A$43:$B$50,2,FALSE)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B62 &amp;" ,"&amp; O62 &amp;" ,"&amp; IF(Q62="ja","'1'",IF(Q62="nein","'0'","'"&amp;Q62&amp;"'")) &amp;","&amp;IF(P62="enthält",349,IF(P62="nicht leer",352,IF(P62="enthält nicht",350,IF(P62="leer",351,0)))) &amp;" ,NULL ,GetDate() ,'scrc' ,GetDate() ,'scrc')")</f>
        <v/>
      </c>
      <c r="AK6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3" spans="1:37" x14ac:dyDescent="0.25">
      <c r="A63" s="36"/>
      <c r="B63" s="36"/>
      <c r="C63" s="64"/>
      <c r="D63" s="64"/>
      <c r="E63" s="63"/>
      <c r="F63" s="64"/>
      <c r="G63" s="64"/>
      <c r="H63" s="64"/>
      <c r="I63" s="64"/>
      <c r="J63" s="64"/>
      <c r="K63" s="64"/>
      <c r="L63" s="64"/>
      <c r="M63" s="63"/>
      <c r="N63" s="63"/>
      <c r="O63" s="63"/>
      <c r="P63" s="63"/>
      <c r="Q63" s="64"/>
      <c r="R63" s="63"/>
      <c r="S63" s="63"/>
      <c r="T63" s="65"/>
      <c r="U63" s="65"/>
      <c r="W63" s="42" t="e">
        <f>VLOOKUP($I63,'AnmeldeVSS-Attribute'!$A$2:$H$16,2,FALSE)</f>
        <v>#N/A</v>
      </c>
      <c r="X63" s="42" t="e">
        <f>VLOOKUP($I63,'AnmeldeVSS-Attribute'!$A$2:$H$16,3,FALSE)</f>
        <v>#N/A</v>
      </c>
      <c r="Y63" s="42" t="e">
        <f>VLOOKUP($I63,'AnmeldeVSS-Attribute'!$A$2:$H$16,4,FALSE)</f>
        <v>#N/A</v>
      </c>
      <c r="Z63" s="42" t="e">
        <f>VLOOKUP($I63,'AnmeldeVSS-Attribute'!$A$2:$H$16,5,FALSE)</f>
        <v>#N/A</v>
      </c>
      <c r="AA63" s="42" t="e">
        <f>VLOOKUP($I63,'AnmeldeVSS-Attribute'!$A$2:$H$16,6,FALSE)</f>
        <v>#N/A</v>
      </c>
      <c r="AB63" s="42" t="e">
        <f>VLOOKUP($I63,'AnmeldeVSS-Attribute'!$A$2:$H$16,7,FALSE)</f>
        <v>#N/A</v>
      </c>
      <c r="AC63" s="42" t="e">
        <f>IF(I63="Geldbetrag",J63,(IF(T63="",VLOOKUP($I63,'AnmeldeVSS-Attribute'!$A$2:$H$16,8,FALSE),T63)))</f>
        <v>#N/A</v>
      </c>
      <c r="AD63" s="42">
        <f>IF(S63="",0,VLOOKUP(S63,'AnmeldeVSS-Attribute'!$A$20:$B$26,2,FALSE))</f>
        <v>0</v>
      </c>
      <c r="AE63" s="42" t="e">
        <f t="shared" si="0"/>
        <v>#N/A</v>
      </c>
      <c r="AF63" s="42" t="str">
        <f t="shared" si="1"/>
        <v/>
      </c>
      <c r="AG63" s="42" t="str">
        <f t="shared" si="2"/>
        <v/>
      </c>
      <c r="AH63" s="47" t="str">
        <f t="shared" si="3"/>
        <v/>
      </c>
      <c r="AI63" s="47" t="str">
        <f t="shared" si="4"/>
        <v/>
      </c>
      <c r="AJ63" s="42" t="str">
        <f>IF(O63="",(IF(P63="Ansicht","INSERT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B63 &amp;" ,NULL ,'',349,"&amp; VLOOKUP(Q63,'AnmeldeVSS-Attribute'!$A$43:$B$50,2,FALSE)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B63 &amp;" ,"&amp; O63 &amp;" ,"&amp; IF(Q63="ja","'1'",IF(Q63="nein","'0'","'"&amp;Q63&amp;"'")) &amp;","&amp;IF(P63="enthält",349,IF(P63="nicht leer",352,IF(P63="enthält nicht",350,IF(P63="leer",351,0)))) &amp;" ,NULL ,GetDate() ,'scrc' ,GetDate() ,'scrc')")</f>
        <v/>
      </c>
      <c r="AK6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4" spans="1:37" x14ac:dyDescent="0.25">
      <c r="A64" s="66"/>
      <c r="B64" s="66"/>
      <c r="C64" s="68"/>
      <c r="D64" s="68"/>
      <c r="E64" s="66"/>
      <c r="F64" s="68"/>
      <c r="G64" s="68"/>
      <c r="H64" s="68"/>
      <c r="I64" s="68"/>
      <c r="J64" s="68"/>
      <c r="K64" s="68"/>
      <c r="L64" s="68"/>
      <c r="M64" s="66"/>
      <c r="N64" s="66"/>
      <c r="O64" s="66"/>
      <c r="P64" s="66"/>
      <c r="Q64" s="68"/>
      <c r="R64" s="66"/>
      <c r="S64" s="66"/>
      <c r="T64" s="65"/>
      <c r="U64" s="65"/>
      <c r="W64" s="42" t="e">
        <f>VLOOKUP($I64,'AnmeldeVSS-Attribute'!$A$2:$H$16,2,FALSE)</f>
        <v>#N/A</v>
      </c>
      <c r="X64" s="42" t="e">
        <f>VLOOKUP($I64,'AnmeldeVSS-Attribute'!$A$2:$H$16,3,FALSE)</f>
        <v>#N/A</v>
      </c>
      <c r="Y64" s="42" t="e">
        <f>VLOOKUP($I64,'AnmeldeVSS-Attribute'!$A$2:$H$16,4,FALSE)</f>
        <v>#N/A</v>
      </c>
      <c r="Z64" s="42" t="e">
        <f>VLOOKUP($I64,'AnmeldeVSS-Attribute'!$A$2:$H$16,5,FALSE)</f>
        <v>#N/A</v>
      </c>
      <c r="AA64" s="42" t="e">
        <f>VLOOKUP($I64,'AnmeldeVSS-Attribute'!$A$2:$H$16,6,FALSE)</f>
        <v>#N/A</v>
      </c>
      <c r="AB64" s="42" t="e">
        <f>VLOOKUP($I64,'AnmeldeVSS-Attribute'!$A$2:$H$16,7,FALSE)</f>
        <v>#N/A</v>
      </c>
      <c r="AC64" s="42" t="e">
        <f>IF(I64="Geldbetrag",J64,(IF(T64="",VLOOKUP($I64,'AnmeldeVSS-Attribute'!$A$2:$H$16,8,FALSE),T64)))</f>
        <v>#N/A</v>
      </c>
      <c r="AD64" s="42">
        <f>IF(S64="",0,VLOOKUP(S64,'AnmeldeVSS-Attribute'!$A$20:$B$26,2,FALSE))</f>
        <v>0</v>
      </c>
      <c r="AE64" s="42" t="e">
        <f t="shared" si="0"/>
        <v>#N/A</v>
      </c>
      <c r="AF64" s="42" t="str">
        <f t="shared" si="1"/>
        <v/>
      </c>
      <c r="AG64" s="42" t="str">
        <f t="shared" si="2"/>
        <v/>
      </c>
      <c r="AH64" s="47" t="str">
        <f t="shared" si="3"/>
        <v/>
      </c>
      <c r="AI64" s="47" t="str">
        <f t="shared" si="4"/>
        <v/>
      </c>
      <c r="AJ64" s="42" t="str">
        <f>IF(O64="",(IF(P64="Ansicht","INSERT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B64 &amp;" ,NULL ,'',349,"&amp; VLOOKUP(Q64,'AnmeldeVSS-Attribute'!$A$43:$B$50,2,FALSE)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B64 &amp;" ,"&amp; O64 &amp;" ,"&amp; IF(Q64="ja","'1'",IF(Q64="nein","'0'","'"&amp;Q64&amp;"'")) &amp;","&amp;IF(P64="enthält",349,IF(P64="nicht leer",352,IF(P64="enthält nicht",350,IF(P64="leer",351,0)))) &amp;" ,NULL ,GetDate() ,'scrc' ,GetDate() ,'scrc')")</f>
        <v/>
      </c>
      <c r="AK6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5" spans="1:37" x14ac:dyDescent="0.25">
      <c r="A65" s="36"/>
      <c r="B65" s="36"/>
      <c r="C65" s="64"/>
      <c r="D65" s="64"/>
      <c r="E65" s="63"/>
      <c r="F65" s="64"/>
      <c r="G65" s="64"/>
      <c r="H65" s="64"/>
      <c r="I65" s="64"/>
      <c r="J65" s="64"/>
      <c r="K65" s="64"/>
      <c r="L65" s="64"/>
      <c r="M65" s="63"/>
      <c r="N65" s="63"/>
      <c r="O65" s="63"/>
      <c r="P65" s="63"/>
      <c r="Q65" s="64"/>
      <c r="R65" s="63"/>
      <c r="S65" s="63"/>
      <c r="T65" s="65"/>
      <c r="U65" s="65"/>
      <c r="W65" s="42" t="e">
        <f>VLOOKUP($I65,'AnmeldeVSS-Attribute'!$A$2:$H$16,2,FALSE)</f>
        <v>#N/A</v>
      </c>
      <c r="X65" s="42" t="e">
        <f>VLOOKUP($I65,'AnmeldeVSS-Attribute'!$A$2:$H$16,3,FALSE)</f>
        <v>#N/A</v>
      </c>
      <c r="Y65" s="42" t="e">
        <f>VLOOKUP($I65,'AnmeldeVSS-Attribute'!$A$2:$H$16,4,FALSE)</f>
        <v>#N/A</v>
      </c>
      <c r="Z65" s="42" t="e">
        <f>VLOOKUP($I65,'AnmeldeVSS-Attribute'!$A$2:$H$16,5,FALSE)</f>
        <v>#N/A</v>
      </c>
      <c r="AA65" s="42" t="e">
        <f>VLOOKUP($I65,'AnmeldeVSS-Attribute'!$A$2:$H$16,6,FALSE)</f>
        <v>#N/A</v>
      </c>
      <c r="AB65" s="42" t="e">
        <f>VLOOKUP($I65,'AnmeldeVSS-Attribute'!$A$2:$H$16,7,FALSE)</f>
        <v>#N/A</v>
      </c>
      <c r="AC65" s="42" t="e">
        <f>IF(I65="Geldbetrag",J65,(IF(T65="",VLOOKUP($I65,'AnmeldeVSS-Attribute'!$A$2:$H$16,8,FALSE),T65)))</f>
        <v>#N/A</v>
      </c>
      <c r="AD65" s="42">
        <f>IF(S65="",0,VLOOKUP(S65,'AnmeldeVSS-Attribute'!$A$20:$B$26,2,FALSE))</f>
        <v>0</v>
      </c>
      <c r="AE65" s="42" t="e">
        <f t="shared" si="0"/>
        <v>#N/A</v>
      </c>
      <c r="AF65" s="42" t="str">
        <f t="shared" si="1"/>
        <v/>
      </c>
      <c r="AG65" s="42" t="str">
        <f t="shared" si="2"/>
        <v/>
      </c>
      <c r="AH65" s="47" t="str">
        <f t="shared" si="3"/>
        <v/>
      </c>
      <c r="AI65" s="47" t="str">
        <f t="shared" si="4"/>
        <v/>
      </c>
      <c r="AJ65" s="42" t="str">
        <f>IF(O65="",(IF(P65="Ansicht","INSERT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B65 &amp;" ,NULL ,'',349,"&amp; VLOOKUP(Q65,'AnmeldeVSS-Attribute'!$A$43:$B$50,2,FALSE)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B65 &amp;" ,"&amp; O65 &amp;" ,"&amp; IF(Q65="ja","'1'",IF(Q65="nein","'0'","'"&amp;Q65&amp;"'")) &amp;","&amp;IF(P65="enthält",349,IF(P65="nicht leer",352,IF(P65="enthält nicht",350,IF(P65="leer",351,0)))) &amp;" ,NULL ,GetDate() ,'scrc' ,GetDate() ,'scrc')")</f>
        <v/>
      </c>
      <c r="AK6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6" spans="1:37" x14ac:dyDescent="0.25">
      <c r="A66" s="66"/>
      <c r="B66" s="66"/>
      <c r="C66" s="68"/>
      <c r="D66" s="68"/>
      <c r="E66" s="66"/>
      <c r="F66" s="68"/>
      <c r="G66" s="68"/>
      <c r="H66" s="68"/>
      <c r="I66" s="68"/>
      <c r="J66" s="68"/>
      <c r="K66" s="53"/>
      <c r="L66" s="68"/>
      <c r="M66" s="66"/>
      <c r="N66" s="66"/>
      <c r="O66" s="66"/>
      <c r="P66" s="66"/>
      <c r="Q66" s="68"/>
      <c r="R66" s="66"/>
      <c r="S66" s="66"/>
      <c r="T66" s="65"/>
      <c r="U66" s="65"/>
      <c r="W66" s="42" t="e">
        <f>VLOOKUP($I66,'AnmeldeVSS-Attribute'!$A$2:$H$16,2,FALSE)</f>
        <v>#N/A</v>
      </c>
      <c r="X66" s="42" t="e">
        <f>VLOOKUP($I66,'AnmeldeVSS-Attribute'!$A$2:$H$16,3,FALSE)</f>
        <v>#N/A</v>
      </c>
      <c r="Y66" s="42" t="e">
        <f>VLOOKUP($I66,'AnmeldeVSS-Attribute'!$A$2:$H$16,4,FALSE)</f>
        <v>#N/A</v>
      </c>
      <c r="Z66" s="42" t="e">
        <f>VLOOKUP($I66,'AnmeldeVSS-Attribute'!$A$2:$H$16,5,FALSE)</f>
        <v>#N/A</v>
      </c>
      <c r="AA66" s="42" t="e">
        <f>VLOOKUP($I66,'AnmeldeVSS-Attribute'!$A$2:$H$16,6,FALSE)</f>
        <v>#N/A</v>
      </c>
      <c r="AB66" s="42" t="e">
        <f>VLOOKUP($I66,'AnmeldeVSS-Attribute'!$A$2:$H$16,7,FALSE)</f>
        <v>#N/A</v>
      </c>
      <c r="AC66" s="42" t="e">
        <f>IF(I66="Geldbetrag",J66,(IF(T66="",VLOOKUP($I66,'AnmeldeVSS-Attribute'!$A$2:$H$16,8,FALSE),T66)))</f>
        <v>#N/A</v>
      </c>
      <c r="AD66" s="42">
        <f>IF(S66="",0,VLOOKUP(S66,'AnmeldeVSS-Attribute'!$A$20:$B$26,2,FALSE))</f>
        <v>0</v>
      </c>
      <c r="AE66" s="42" t="e">
        <f t="shared" si="0"/>
        <v>#N/A</v>
      </c>
      <c r="AF66" s="42" t="str">
        <f t="shared" si="1"/>
        <v/>
      </c>
      <c r="AG66" s="42" t="str">
        <f t="shared" si="2"/>
        <v/>
      </c>
      <c r="AH66" s="47" t="str">
        <f t="shared" si="3"/>
        <v/>
      </c>
      <c r="AI66" s="47" t="str">
        <f t="shared" si="4"/>
        <v/>
      </c>
      <c r="AJ66" s="42" t="str">
        <f>IF(O66="",(IF(P66="Ansicht","INSERT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B66 &amp;" ,NULL ,'',349,"&amp; VLOOKUP(Q66,'AnmeldeVSS-Attribute'!$A$43:$B$50,2,FALSE)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B66 &amp;" ,"&amp; O66 &amp;" ,"&amp; IF(Q66="ja","'1'",IF(Q66="nein","'0'","'"&amp;Q66&amp;"'")) &amp;","&amp;IF(P66="enthält",349,IF(P66="nicht leer",352,IF(P66="enthält nicht",350,IF(P66="leer",351,0)))) &amp;" ,NULL ,GetDate() ,'scrc' ,GetDate() ,'scrc')")</f>
        <v/>
      </c>
      <c r="AK6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7" spans="1:37" x14ac:dyDescent="0.25">
      <c r="A67" s="36"/>
      <c r="B67" s="36"/>
      <c r="C67" s="64"/>
      <c r="D67" s="64"/>
      <c r="E67" s="63"/>
      <c r="F67" s="64"/>
      <c r="G67" s="60"/>
      <c r="H67" s="60"/>
      <c r="I67" s="64"/>
      <c r="J67" s="64"/>
      <c r="K67" s="64"/>
      <c r="L67" s="64"/>
      <c r="M67" s="63"/>
      <c r="N67" s="63"/>
      <c r="O67" s="63"/>
      <c r="P67" s="63"/>
      <c r="Q67" s="64"/>
      <c r="R67" s="63"/>
      <c r="S67" s="63"/>
      <c r="T67" s="65"/>
      <c r="U67" s="65"/>
      <c r="W67" s="42" t="e">
        <f>VLOOKUP($I67,'AnmeldeVSS-Attribute'!$A$2:$H$16,2,FALSE)</f>
        <v>#N/A</v>
      </c>
      <c r="X67" s="42" t="e">
        <f>VLOOKUP($I67,'AnmeldeVSS-Attribute'!$A$2:$H$16,3,FALSE)</f>
        <v>#N/A</v>
      </c>
      <c r="Y67" s="42" t="e">
        <f>VLOOKUP($I67,'AnmeldeVSS-Attribute'!$A$2:$H$16,4,FALSE)</f>
        <v>#N/A</v>
      </c>
      <c r="Z67" s="42" t="e">
        <f>VLOOKUP($I67,'AnmeldeVSS-Attribute'!$A$2:$H$16,5,FALSE)</f>
        <v>#N/A</v>
      </c>
      <c r="AA67" s="42" t="e">
        <f>VLOOKUP($I67,'AnmeldeVSS-Attribute'!$A$2:$H$16,6,FALSE)</f>
        <v>#N/A</v>
      </c>
      <c r="AB67" s="42" t="e">
        <f>VLOOKUP($I67,'AnmeldeVSS-Attribute'!$A$2:$H$16,7,FALSE)</f>
        <v>#N/A</v>
      </c>
      <c r="AC67" s="42" t="e">
        <f>IF(I67="Geldbetrag",J67,(IF(T67="",VLOOKUP($I67,'AnmeldeVSS-Attribute'!$A$2:$H$16,8,FALSE),T67)))</f>
        <v>#N/A</v>
      </c>
      <c r="AD67" s="42">
        <f>IF(S67="",0,VLOOKUP(S67,'AnmeldeVSS-Attribute'!$A$20:$B$26,2,FALSE))</f>
        <v>0</v>
      </c>
      <c r="AE67" s="42" t="e">
        <f t="shared" si="0"/>
        <v>#N/A</v>
      </c>
      <c r="AF67" s="42" t="str">
        <f t="shared" si="1"/>
        <v/>
      </c>
      <c r="AG67" s="42" t="str">
        <f t="shared" si="2"/>
        <v/>
      </c>
      <c r="AH67" s="47" t="str">
        <f t="shared" si="3"/>
        <v/>
      </c>
      <c r="AI67" s="47" t="str">
        <f t="shared" si="4"/>
        <v/>
      </c>
      <c r="AJ67" s="42" t="str">
        <f>IF(O67="",(IF(P67="Ansicht","INSERT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B67 &amp;" ,NULL ,'',349,"&amp; VLOOKUP(Q67,'AnmeldeVSS-Attribute'!$A$43:$B$50,2,FALSE)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B67 &amp;" ,"&amp; O67 &amp;" ,"&amp; IF(Q67="ja","'1'",IF(Q67="nein","'0'","'"&amp;Q67&amp;"'")) &amp;","&amp;IF(P67="enthält",349,IF(P67="nicht leer",352,IF(P67="enthält nicht",350,IF(P67="leer",351,0)))) &amp;" ,NULL ,GetDate() ,'scrc' ,GetDate() ,'scrc')")</f>
        <v/>
      </c>
      <c r="AK6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8" spans="1:37" x14ac:dyDescent="0.25">
      <c r="A68" s="66"/>
      <c r="B68" s="66"/>
      <c r="C68" s="64"/>
      <c r="D68" s="64"/>
      <c r="E68" s="63"/>
      <c r="F68" s="64"/>
      <c r="G68" s="64"/>
      <c r="H68" s="64"/>
      <c r="I68" s="64"/>
      <c r="J68" s="64"/>
      <c r="K68" s="64"/>
      <c r="L68" s="64"/>
      <c r="M68" s="63"/>
      <c r="N68" s="63"/>
      <c r="O68" s="63"/>
      <c r="P68" s="63"/>
      <c r="Q68" s="64"/>
      <c r="R68" s="63"/>
      <c r="S68" s="63"/>
      <c r="T68" s="65"/>
      <c r="U68" s="65"/>
      <c r="W68" s="42" t="e">
        <f>VLOOKUP($I68,'AnmeldeVSS-Attribute'!$A$2:$H$16,2,FALSE)</f>
        <v>#N/A</v>
      </c>
      <c r="X68" s="42" t="e">
        <f>VLOOKUP($I68,'AnmeldeVSS-Attribute'!$A$2:$H$16,3,FALSE)</f>
        <v>#N/A</v>
      </c>
      <c r="Y68" s="42" t="e">
        <f>VLOOKUP($I68,'AnmeldeVSS-Attribute'!$A$2:$H$16,4,FALSE)</f>
        <v>#N/A</v>
      </c>
      <c r="Z68" s="42" t="e">
        <f>VLOOKUP($I68,'AnmeldeVSS-Attribute'!$A$2:$H$16,5,FALSE)</f>
        <v>#N/A</v>
      </c>
      <c r="AA68" s="42" t="e">
        <f>VLOOKUP($I68,'AnmeldeVSS-Attribute'!$A$2:$H$16,6,FALSE)</f>
        <v>#N/A</v>
      </c>
      <c r="AB68" s="42" t="e">
        <f>VLOOKUP($I68,'AnmeldeVSS-Attribute'!$A$2:$H$16,7,FALSE)</f>
        <v>#N/A</v>
      </c>
      <c r="AC68" s="42" t="e">
        <f>IF(I68="Geldbetrag",J68,(IF(T68="",VLOOKUP($I68,'AnmeldeVSS-Attribute'!$A$2:$H$16,8,FALSE),T68)))</f>
        <v>#N/A</v>
      </c>
      <c r="AD68" s="42">
        <f>IF(S68="",0,VLOOKUP(S68,'AnmeldeVSS-Attribute'!$A$20:$B$26,2,FALSE))</f>
        <v>0</v>
      </c>
      <c r="AE68" s="42" t="e">
        <f t="shared" si="0"/>
        <v>#N/A</v>
      </c>
      <c r="AF68" s="42" t="str">
        <f t="shared" si="1"/>
        <v/>
      </c>
      <c r="AG68" s="42" t="str">
        <f t="shared" si="2"/>
        <v/>
      </c>
      <c r="AH68" s="47" t="str">
        <f t="shared" si="3"/>
        <v/>
      </c>
      <c r="AI68" s="47" t="str">
        <f t="shared" si="4"/>
        <v/>
      </c>
      <c r="AJ68" s="42" t="str">
        <f>IF(O68="",(IF(P68="Ansicht","INSERT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B68 &amp;" ,NULL ,'',349,"&amp; VLOOKUP(Q68,'AnmeldeVSS-Attribute'!$A$43:$B$50,2,FALSE)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B68 &amp;" ,"&amp; O68 &amp;" ,"&amp; IF(Q68="ja","'1'",IF(Q68="nein","'0'","'"&amp;Q68&amp;"'")) &amp;","&amp;IF(P68="enthält",349,IF(P68="nicht leer",352,IF(P68="enthält nicht",350,IF(P68="leer",351,0)))) &amp;" ,NULL ,GetDate() ,'scrc' ,GetDate() ,'scrc')")</f>
        <v/>
      </c>
      <c r="AK6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69" spans="1:37" x14ac:dyDescent="0.25">
      <c r="A69" s="36"/>
      <c r="B69" s="36"/>
      <c r="C69" s="64"/>
      <c r="D69" s="64"/>
      <c r="E69" s="66"/>
      <c r="F69" s="64"/>
      <c r="G69" s="64"/>
      <c r="H69" s="64"/>
      <c r="I69" s="64"/>
      <c r="J69" s="64"/>
      <c r="K69" s="64"/>
      <c r="L69" s="64"/>
      <c r="M69" s="63"/>
      <c r="N69" s="63"/>
      <c r="O69" s="63"/>
      <c r="P69" s="63"/>
      <c r="Q69" s="64"/>
      <c r="R69" s="63"/>
      <c r="S69" s="63"/>
      <c r="T69" s="65"/>
      <c r="U69" s="65"/>
      <c r="W69" s="42" t="e">
        <f>VLOOKUP($I69,'AnmeldeVSS-Attribute'!$A$2:$H$16,2,FALSE)</f>
        <v>#N/A</v>
      </c>
      <c r="X69" s="42" t="e">
        <f>VLOOKUP($I69,'AnmeldeVSS-Attribute'!$A$2:$H$16,3,FALSE)</f>
        <v>#N/A</v>
      </c>
      <c r="Y69" s="42" t="e">
        <f>VLOOKUP($I69,'AnmeldeVSS-Attribute'!$A$2:$H$16,4,FALSE)</f>
        <v>#N/A</v>
      </c>
      <c r="Z69" s="42" t="e">
        <f>VLOOKUP($I69,'AnmeldeVSS-Attribute'!$A$2:$H$16,5,FALSE)</f>
        <v>#N/A</v>
      </c>
      <c r="AA69" s="42" t="e">
        <f>VLOOKUP($I69,'AnmeldeVSS-Attribute'!$A$2:$H$16,6,FALSE)</f>
        <v>#N/A</v>
      </c>
      <c r="AB69" s="42" t="e">
        <f>VLOOKUP($I69,'AnmeldeVSS-Attribute'!$A$2:$H$16,7,FALSE)</f>
        <v>#N/A</v>
      </c>
      <c r="AC69" s="42" t="e">
        <f>IF(I69="Geldbetrag",J69,(IF(T69="",VLOOKUP($I69,'AnmeldeVSS-Attribute'!$A$2:$H$16,8,FALSE),T69)))</f>
        <v>#N/A</v>
      </c>
      <c r="AD69" s="42">
        <f>IF(S69="",0,VLOOKUP(S69,'AnmeldeVSS-Attribute'!$A$20:$B$26,2,FALSE))</f>
        <v>0</v>
      </c>
      <c r="AE69" s="42" t="e">
        <f t="shared" si="0"/>
        <v>#N/A</v>
      </c>
      <c r="AF69" s="42" t="str">
        <f>IF(B69&lt;100000,"",AE69)</f>
        <v/>
      </c>
      <c r="AG69" s="42" t="str">
        <f t="shared" si="2"/>
        <v/>
      </c>
      <c r="AH69" s="47" t="str">
        <f>IF(AF69="","",IF(J69="","",IF(I69="LookupField",AK69,"")))</f>
        <v/>
      </c>
      <c r="AI69" s="47" t="str">
        <f>IF(D69&lt;&gt;"","update tblAnmeldeVSSLanguage set AnmeldeVSSBezeichnung = '" &amp; D69 &amp;"', AnmeldeVSSBezeichnungToDo = 0 " &amp;IF(H69&lt;&gt;"",", AnmeldeVSSTooltip = '"&amp; H69 &amp;"', AnmeldeVSSTooltipToDo = 0 ","") &amp; "where IDAnlass = "&amp; IDAnlass &amp;" and IDAnmeldeVSS = "&amp; B69,"")</f>
        <v/>
      </c>
      <c r="AJ69" s="42" t="str">
        <f>IF(O69="",(IF(P69="Ansicht","INSERT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B69 &amp;" ,NULL ,'',349,"&amp; VLOOKUP(Q69,'AnmeldeVSS-Attribute'!$A$43:$B$50,2,FALSE)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B69 &amp;" ,"&amp; O69 &amp;" ,"&amp; IF(Q69="ja","'1'",IF(Q69="nein","'0'","'"&amp;Q69&amp;"'")) &amp;","&amp;IF(P69="enthält",349,IF(P69="nicht leer",352,IF(P69="enthält nicht",350,IF(P69="leer",351,0)))) &amp;" ,NULL ,GetDate() ,'scrc' ,GetDate() ,'scrc')")</f>
        <v/>
      </c>
      <c r="AK69" s="48" t="str">
        <f>CONCATENATE("update tblAnmeldeVSS set AnmeldeVSSOTUseLegacyRowSource = 1, AnmeldeVssOTUseLegacyValueCalculation = 1, AnmeldeVSSRowSource='","Select ''",SUBSTITUTE(J69,",","'' where @kontextidlanguage = 1 union select ''"),"'' where @kontextidlanguage = 1 ","union select ''",SUBSTITUTE(K69,",","'' where @kontextidlanguage = 133 union select ''"),"'' where @kontextidlanguage = 133'"," where IDAnmeldeVSS ="&amp;B69&amp;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0" spans="1:37" x14ac:dyDescent="0.25">
      <c r="A70" s="36"/>
      <c r="B70" s="36"/>
      <c r="C70" s="64"/>
      <c r="D70" s="64"/>
      <c r="E70" s="63"/>
      <c r="F70" s="64"/>
      <c r="G70" s="64"/>
      <c r="H70" s="64"/>
      <c r="I70" s="64"/>
      <c r="J70" s="64"/>
      <c r="K70" s="64"/>
      <c r="L70" s="64"/>
      <c r="M70" s="63"/>
      <c r="N70" s="63"/>
      <c r="O70" s="63"/>
      <c r="P70" s="63"/>
      <c r="Q70" s="64"/>
      <c r="R70" s="63"/>
      <c r="S70" s="63"/>
      <c r="T70" s="65"/>
      <c r="U70" s="65"/>
      <c r="W70" s="42" t="e">
        <f>VLOOKUP($I70,'AnmeldeVSS-Attribute'!$A$2:$H$16,2,FALSE)</f>
        <v>#N/A</v>
      </c>
      <c r="X70" s="42" t="e">
        <f>VLOOKUP($I70,'AnmeldeVSS-Attribute'!$A$2:$H$16,3,FALSE)</f>
        <v>#N/A</v>
      </c>
      <c r="Y70" s="42" t="e">
        <f>VLOOKUP($I70,'AnmeldeVSS-Attribute'!$A$2:$H$16,4,FALSE)</f>
        <v>#N/A</v>
      </c>
      <c r="Z70" s="42" t="e">
        <f>VLOOKUP($I70,'AnmeldeVSS-Attribute'!$A$2:$H$16,5,FALSE)</f>
        <v>#N/A</v>
      </c>
      <c r="AA70" s="42" t="e">
        <f>VLOOKUP($I70,'AnmeldeVSS-Attribute'!$A$2:$H$16,6,FALSE)</f>
        <v>#N/A</v>
      </c>
      <c r="AB70" s="42" t="e">
        <f>VLOOKUP($I70,'AnmeldeVSS-Attribute'!$A$2:$H$16,7,FALSE)</f>
        <v>#N/A</v>
      </c>
      <c r="AC70" s="42" t="e">
        <f>IF(I70="Geldbetrag",J70,(IF(T70="",VLOOKUP($I70,'AnmeldeVSS-Attribute'!$A$2:$H$16,8,FALSE),T70)))</f>
        <v>#N/A</v>
      </c>
      <c r="AD70" s="42">
        <f>IF(S70="",0,VLOOKUP(S70,'AnmeldeVSS-Attribute'!$A$20:$B$26,2,FALSE))</f>
        <v>0</v>
      </c>
      <c r="AE70" s="42" t="e">
        <f t="shared" ref="AE70:AE133" si="7">"IF NOT EXISTS(SELECT * FROM tblAnmeldeVSS WHERE IdAnlass = "&amp;IDAnlass&amp;" AND IdAnmeldeVSS = "&amp;B70&amp;")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"&amp;B70&amp;", 0, '"&amp;C70&amp;"', '"&amp;LEFT(E70,20)&amp;"', '"&amp;W70&amp;"', '"&amp;X70&amp;"', '"&amp;Y70&amp;"', "&amp;IF(M70="Ja","1","0")&amp;", "&amp;IF(N70="lesen","'R'",IF(N70="ändern","'E'","'H'"))&amp;", 
 '"&amp;A70&amp;"', "&amp;Z70&amp;", "&amp;AA70&amp;", "&amp;AB70&amp;", GetDate(), '"&amp;IDBenutzer&amp;"', GetDate(), '"&amp;IDBenutzer&amp;"',
0, "
&amp;IF(I70="LookupKey","'SELECT ELVValue, IDELK
FROM   qryEvt_Bus_EventoLookupKey_All
WHERE  IDELKGroup = "&amp;AB70&amp;"
AND    ELVLangCode = @KontextIdLanguage
AND    SUBSTRING(ELKAdminModus, 2, 1) &lt;&gt; ''H''
ORDER BY ELVSort'",(IF(I70="Arbeitsanweisung","'SELECT LookupfieldsValue FROM   tblLookupfields WHERE  LookupfieldsTyp = ''Arbeitsanweisung'' ORDER BY LookupFieldsSort'","Null")))&amp;", "
&amp;IF(AC70&lt;&gt;"","'"&amp;AC70&amp;"'","NULL")&amp;", '"&amp;G70&amp;"' ,"&amp;IF(I70="Arbeitsanweisung","'Arbeitsanweisung'","NULL")&amp;")"</f>
        <v>#N/A</v>
      </c>
      <c r="AF70" s="42" t="str">
        <f t="shared" si="1"/>
        <v/>
      </c>
      <c r="AG70" s="42" t="str">
        <f t="shared" ref="AG70:AG133" si="8">IF($A70="","","Update tblAnmeldeVSS Set AnmeldeVSSSort ='"&amp; A70 &amp;"', AnmeldeVSSZuPruefen ="&amp; IF(R70="Ja",1,0) &amp;", AnmeldeVSSStyleSet ="&amp; AD70 &amp;", AnmeldeVSSInternet= "&amp;IF(N70="lesen","'R'",IF(N70="ändern","'E'",IF(N70="muss","'M'","'H'")))&amp;", AnmeldeVSSImmerSichtbar = " &amp; IF(M70="Ja",1,0) &amp; ", AnmeldeVSSDefaultWert=" &amp; IF(AC70&lt;&gt;"","'"&amp;AC70&amp;"'","NULL") &amp; ", AnmeldeVSSMuss="&amp; IF(L70="Ja",1,0) &amp;" Where IdAnlass=" &amp; IDAnlass &amp; " AND IdAnmeldeVSS = " &amp; B70)</f>
        <v/>
      </c>
      <c r="AH70" s="47" t="str">
        <f t="shared" si="3"/>
        <v/>
      </c>
      <c r="AI70" s="47" t="str">
        <f t="shared" si="4"/>
        <v/>
      </c>
      <c r="AJ70" s="42" t="str">
        <f>IF(O70="",(IF(P70="Ansicht","INSERT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B70 &amp;" ,NULL ,'',349,"&amp; VLOOKUP(Q70,'AnmeldeVSS-Attribute'!$A$43:$B$50,2,FALSE)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B70 &amp;" ,"&amp; O70 &amp;" ,"&amp; IF(Q70="ja","'1'",IF(Q70="nein","'0'","'"&amp;Q70&amp;"'")) &amp;","&amp;IF(P70="enthält",349,IF(P70="nicht leer",352,IF(P70="enthält nicht",350,IF(P70="leer",351,0)))) &amp;" ,NULL ,GetDate() ,'scrc' ,GetDate() ,'scrc')")</f>
        <v/>
      </c>
      <c r="AK7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1" spans="1:37" x14ac:dyDescent="0.25">
      <c r="A71" s="66"/>
      <c r="B71" s="66"/>
      <c r="C71" s="64"/>
      <c r="D71" s="64"/>
      <c r="E71" s="63"/>
      <c r="F71" s="64"/>
      <c r="G71" s="64"/>
      <c r="H71" s="64"/>
      <c r="I71" s="64"/>
      <c r="J71" s="64"/>
      <c r="K71" s="64"/>
      <c r="L71" s="64"/>
      <c r="M71" s="63"/>
      <c r="N71" s="63"/>
      <c r="O71" s="63"/>
      <c r="P71" s="63"/>
      <c r="Q71" s="64"/>
      <c r="R71" s="63"/>
      <c r="S71" s="63"/>
      <c r="T71" s="65"/>
      <c r="U71" s="65"/>
      <c r="W71" s="42" t="e">
        <f>VLOOKUP($I71,'AnmeldeVSS-Attribute'!$A$2:$H$16,2,FALSE)</f>
        <v>#N/A</v>
      </c>
      <c r="X71" s="42" t="e">
        <f>VLOOKUP($I71,'AnmeldeVSS-Attribute'!$A$2:$H$16,3,FALSE)</f>
        <v>#N/A</v>
      </c>
      <c r="Y71" s="42" t="e">
        <f>VLOOKUP($I71,'AnmeldeVSS-Attribute'!$A$2:$H$16,4,FALSE)</f>
        <v>#N/A</v>
      </c>
      <c r="Z71" s="42" t="e">
        <f>VLOOKUP($I71,'AnmeldeVSS-Attribute'!$A$2:$H$16,5,FALSE)</f>
        <v>#N/A</v>
      </c>
      <c r="AA71" s="42" t="e">
        <f>VLOOKUP($I71,'AnmeldeVSS-Attribute'!$A$2:$H$16,6,FALSE)</f>
        <v>#N/A</v>
      </c>
      <c r="AB71" s="42" t="e">
        <f>VLOOKUP($I71,'AnmeldeVSS-Attribute'!$A$2:$H$16,7,FALSE)</f>
        <v>#N/A</v>
      </c>
      <c r="AC71" s="42" t="e">
        <f>IF(I71="Geldbetrag",J71,(IF(T71="",VLOOKUP($I71,'AnmeldeVSS-Attribute'!$A$2:$H$16,8,FALSE),T71)))</f>
        <v>#N/A</v>
      </c>
      <c r="AD71" s="42">
        <f>IF(S71="",0,VLOOKUP(S71,'AnmeldeVSS-Attribute'!$A$20:$B$26,2,FALSE))</f>
        <v>0</v>
      </c>
      <c r="AE71" s="42" t="e">
        <f t="shared" si="7"/>
        <v>#N/A</v>
      </c>
      <c r="AF71" s="42" t="str">
        <f t="shared" ref="AF71:AF133" si="9">IF(B71&lt;100000,"",AE71)</f>
        <v/>
      </c>
      <c r="AG71" s="42" t="str">
        <f t="shared" si="8"/>
        <v/>
      </c>
      <c r="AH71" s="47" t="str">
        <f t="shared" ref="AH71:AH133" si="10">IF(AF71="","",IF(J71="","",IF(I71="LookupField",AK71,"")))</f>
        <v/>
      </c>
      <c r="AI71" s="47" t="str">
        <f t="shared" ref="AI71:AI133" si="11">IF(D71&lt;&gt;"","update tblAnmeldeVSSLanguage set AnmeldeVSSBezeichnung = '" &amp; D71 &amp;"', AnmeldeVSSBezeichnungToDo = 0 " &amp;IF(H71&lt;&gt;"",", AnmeldeVSSTooltip = '"&amp; H71 &amp;"', AnmeldeVSSTooltipToDo = 0 ","") &amp; "where IDAnlass = "&amp; IDAnlass &amp;" and IDAnmeldeVSS = "&amp; B71,"")</f>
        <v/>
      </c>
      <c r="AJ71" s="42" t="str">
        <f>IF(O71="",(IF(P71="Ansicht","INSERT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B71 &amp;" ,NULL ,'',349,"&amp; VLOOKUP(Q71,'AnmeldeVSS-Attribute'!$A$43:$B$50,2,FALSE)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B71 &amp;" ,"&amp; O71 &amp;" ,"&amp; IF(Q71="ja","'1'",IF(Q71="nein","'0'","'"&amp;Q71&amp;"'")) &amp;","&amp;IF(P71="enthält",349,IF(P71="nicht leer",352,IF(P71="enthält nicht",350,IF(P71="leer",351,0)))) &amp;" ,NULL ,GetDate() ,'scrc' ,GetDate() ,'scrc')")</f>
        <v/>
      </c>
      <c r="AK7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2" spans="1:37" x14ac:dyDescent="0.25">
      <c r="A72" s="36"/>
      <c r="B72" s="36"/>
      <c r="C72" s="64"/>
      <c r="D72" s="64"/>
      <c r="E72" s="63"/>
      <c r="F72" s="64"/>
      <c r="G72" s="64"/>
      <c r="H72" s="64"/>
      <c r="I72" s="64"/>
      <c r="J72" s="64"/>
      <c r="K72" s="64"/>
      <c r="L72" s="64"/>
      <c r="M72" s="63"/>
      <c r="N72" s="63"/>
      <c r="O72" s="63"/>
      <c r="P72" s="63"/>
      <c r="Q72" s="64"/>
      <c r="R72" s="63"/>
      <c r="S72" s="63"/>
      <c r="T72" s="65"/>
      <c r="U72" s="65"/>
      <c r="W72" s="42" t="e">
        <f>VLOOKUP($I72,'AnmeldeVSS-Attribute'!$A$2:$H$16,2,FALSE)</f>
        <v>#N/A</v>
      </c>
      <c r="X72" s="42" t="e">
        <f>VLOOKUP($I72,'AnmeldeVSS-Attribute'!$A$2:$H$16,3,FALSE)</f>
        <v>#N/A</v>
      </c>
      <c r="Y72" s="42" t="e">
        <f>VLOOKUP($I72,'AnmeldeVSS-Attribute'!$A$2:$H$16,4,FALSE)</f>
        <v>#N/A</v>
      </c>
      <c r="Z72" s="42" t="e">
        <f>VLOOKUP($I72,'AnmeldeVSS-Attribute'!$A$2:$H$16,5,FALSE)</f>
        <v>#N/A</v>
      </c>
      <c r="AA72" s="42" t="e">
        <f>VLOOKUP($I72,'AnmeldeVSS-Attribute'!$A$2:$H$16,6,FALSE)</f>
        <v>#N/A</v>
      </c>
      <c r="AB72" s="42" t="e">
        <f>VLOOKUP($I72,'AnmeldeVSS-Attribute'!$A$2:$H$16,7,FALSE)</f>
        <v>#N/A</v>
      </c>
      <c r="AC72" s="42" t="e">
        <f>IF(I72="Geldbetrag",J72,(IF(T72="",VLOOKUP($I72,'AnmeldeVSS-Attribute'!$A$2:$H$16,8,FALSE),T72)))</f>
        <v>#N/A</v>
      </c>
      <c r="AD72" s="42">
        <f>IF(S72="",0,VLOOKUP(S72,'AnmeldeVSS-Attribute'!$A$20:$B$26,2,FALSE))</f>
        <v>0</v>
      </c>
      <c r="AE72" s="42" t="e">
        <f t="shared" si="7"/>
        <v>#N/A</v>
      </c>
      <c r="AF72" s="42" t="str">
        <f t="shared" si="9"/>
        <v/>
      </c>
      <c r="AG72" s="42" t="str">
        <f t="shared" si="8"/>
        <v/>
      </c>
      <c r="AH72" s="47" t="str">
        <f t="shared" si="10"/>
        <v/>
      </c>
      <c r="AI72" s="47" t="str">
        <f t="shared" si="11"/>
        <v/>
      </c>
      <c r="AJ72" s="42" t="str">
        <f>IF(O72="",(IF(P72="Ansicht","INSERT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B72 &amp;" ,NULL ,'',349,"&amp; VLOOKUP(Q72,'AnmeldeVSS-Attribute'!$A$43:$B$50,2,FALSE)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B72 &amp;" ,"&amp; O72 &amp;" ,"&amp; IF(Q72="ja","'1'",IF(Q72="nein","'0'","'"&amp;Q72&amp;"'")) &amp;","&amp;IF(P72="enthält",349,IF(P72="nicht leer",352,IF(P72="enthält nicht",350,IF(P72="leer",351,0)))) &amp;" ,NULL ,GetDate() ,'scrc' ,GetDate() ,'scrc')")</f>
        <v/>
      </c>
      <c r="AK7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3" spans="1:37" x14ac:dyDescent="0.25">
      <c r="A73" s="66"/>
      <c r="B73" s="66"/>
      <c r="C73" s="64"/>
      <c r="D73" s="64"/>
      <c r="E73" s="63"/>
      <c r="F73" s="64"/>
      <c r="G73" s="64"/>
      <c r="H73" s="64"/>
      <c r="I73" s="64"/>
      <c r="J73" s="64"/>
      <c r="K73" s="64"/>
      <c r="L73" s="64"/>
      <c r="M73" s="63"/>
      <c r="N73" s="63"/>
      <c r="O73" s="63"/>
      <c r="P73" s="63"/>
      <c r="Q73" s="64"/>
      <c r="R73" s="63"/>
      <c r="S73" s="63"/>
      <c r="T73" s="65"/>
      <c r="U73" s="65"/>
      <c r="W73" s="42" t="e">
        <f>VLOOKUP($I73,'AnmeldeVSS-Attribute'!$A$2:$H$16,2,FALSE)</f>
        <v>#N/A</v>
      </c>
      <c r="X73" s="42" t="e">
        <f>VLOOKUP($I73,'AnmeldeVSS-Attribute'!$A$2:$H$16,3,FALSE)</f>
        <v>#N/A</v>
      </c>
      <c r="Y73" s="42" t="e">
        <f>VLOOKUP($I73,'AnmeldeVSS-Attribute'!$A$2:$H$16,4,FALSE)</f>
        <v>#N/A</v>
      </c>
      <c r="Z73" s="42" t="e">
        <f>VLOOKUP($I73,'AnmeldeVSS-Attribute'!$A$2:$H$16,5,FALSE)</f>
        <v>#N/A</v>
      </c>
      <c r="AA73" s="42" t="e">
        <f>VLOOKUP($I73,'AnmeldeVSS-Attribute'!$A$2:$H$16,6,FALSE)</f>
        <v>#N/A</v>
      </c>
      <c r="AB73" s="42" t="e">
        <f>VLOOKUP($I73,'AnmeldeVSS-Attribute'!$A$2:$H$16,7,FALSE)</f>
        <v>#N/A</v>
      </c>
      <c r="AC73" s="42" t="e">
        <f>IF(I73="Geldbetrag",J73,(IF(T73="",VLOOKUP($I73,'AnmeldeVSS-Attribute'!$A$2:$H$16,8,FALSE),T73)))</f>
        <v>#N/A</v>
      </c>
      <c r="AD73" s="42">
        <f>IF(S73="",0,VLOOKUP(S73,'AnmeldeVSS-Attribute'!$A$20:$B$26,2,FALSE))</f>
        <v>0</v>
      </c>
      <c r="AE73" s="42" t="e">
        <f t="shared" si="7"/>
        <v>#N/A</v>
      </c>
      <c r="AF73" s="42" t="str">
        <f t="shared" si="9"/>
        <v/>
      </c>
      <c r="AG73" s="42" t="str">
        <f t="shared" si="8"/>
        <v/>
      </c>
      <c r="AH73" s="47" t="str">
        <f t="shared" si="10"/>
        <v/>
      </c>
      <c r="AI73" s="47" t="str">
        <f t="shared" si="11"/>
        <v/>
      </c>
      <c r="AJ73" s="42" t="str">
        <f>IF(O73="",(IF(P73="Ansicht","INSERT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B73 &amp;" ,NULL ,'',349,"&amp; VLOOKUP(Q73,'AnmeldeVSS-Attribute'!$A$43:$B$50,2,FALSE)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B73 &amp;" ,"&amp; O73 &amp;" ,"&amp; IF(Q73="ja","'1'",IF(Q73="nein","'0'","'"&amp;Q73&amp;"'")) &amp;","&amp;IF(P73="enthält",349,IF(P73="nicht leer",352,IF(P73="enthält nicht",350,IF(P73="leer",351,0)))) &amp;" ,NULL ,GetDate() ,'scrc' ,GetDate() ,'scrc')")</f>
        <v/>
      </c>
      <c r="AK7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4" spans="1:37" x14ac:dyDescent="0.25">
      <c r="A74" s="66"/>
      <c r="B74" s="66"/>
      <c r="C74" s="64"/>
      <c r="D74" s="64"/>
      <c r="E74" s="63"/>
      <c r="F74" s="64"/>
      <c r="G74" s="64"/>
      <c r="H74" s="64"/>
      <c r="I74" s="64"/>
      <c r="J74" s="64"/>
      <c r="K74" s="64"/>
      <c r="L74" s="64"/>
      <c r="M74" s="63"/>
      <c r="N74" s="63"/>
      <c r="O74" s="63"/>
      <c r="P74" s="63"/>
      <c r="Q74" s="64"/>
      <c r="R74" s="63"/>
      <c r="S74" s="63"/>
      <c r="T74" s="65"/>
      <c r="U74" s="65"/>
      <c r="W74" s="42" t="e">
        <f>VLOOKUP($I74,'AnmeldeVSS-Attribute'!$A$2:$H$16,2,FALSE)</f>
        <v>#N/A</v>
      </c>
      <c r="X74" s="42" t="e">
        <f>VLOOKUP($I74,'AnmeldeVSS-Attribute'!$A$2:$H$16,3,FALSE)</f>
        <v>#N/A</v>
      </c>
      <c r="Y74" s="42" t="e">
        <f>VLOOKUP($I74,'AnmeldeVSS-Attribute'!$A$2:$H$16,4,FALSE)</f>
        <v>#N/A</v>
      </c>
      <c r="Z74" s="42" t="e">
        <f>VLOOKUP($I74,'AnmeldeVSS-Attribute'!$A$2:$H$16,5,FALSE)</f>
        <v>#N/A</v>
      </c>
      <c r="AA74" s="42" t="e">
        <f>VLOOKUP($I74,'AnmeldeVSS-Attribute'!$A$2:$H$16,6,FALSE)</f>
        <v>#N/A</v>
      </c>
      <c r="AB74" s="42" t="e">
        <f>VLOOKUP($I74,'AnmeldeVSS-Attribute'!$A$2:$H$16,7,FALSE)</f>
        <v>#N/A</v>
      </c>
      <c r="AC74" s="42" t="e">
        <f>IF(I74="Geldbetrag",J74,(IF(T74="",VLOOKUP($I74,'AnmeldeVSS-Attribute'!$A$2:$H$16,8,FALSE),T74)))</f>
        <v>#N/A</v>
      </c>
      <c r="AD74" s="42">
        <f>IF(S74="",0,VLOOKUP(S74,'AnmeldeVSS-Attribute'!$A$20:$B$26,2,FALSE))</f>
        <v>0</v>
      </c>
      <c r="AE74" s="42" t="e">
        <f t="shared" si="7"/>
        <v>#N/A</v>
      </c>
      <c r="AF74" s="42" t="str">
        <f t="shared" si="9"/>
        <v/>
      </c>
      <c r="AG74" s="42" t="str">
        <f t="shared" si="8"/>
        <v/>
      </c>
      <c r="AH74" s="47" t="str">
        <f t="shared" si="10"/>
        <v/>
      </c>
      <c r="AI74" s="47" t="str">
        <f t="shared" si="11"/>
        <v/>
      </c>
      <c r="AJ74" s="42" t="str">
        <f>IF(O74="",(IF(P74="Ansicht","INSERT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B74 &amp;" ,NULL ,'',349,"&amp; VLOOKUP(Q74,'AnmeldeVSS-Attribute'!$A$43:$B$50,2,FALSE)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B74 &amp;" ,"&amp; O74 &amp;" ,"&amp; IF(Q74="ja","'1'",IF(Q74="nein","'0'","'"&amp;Q74&amp;"'")) &amp;","&amp;IF(P74="enthält",349,IF(P74="nicht leer",352,IF(P74="enthält nicht",350,IF(P74="leer",351,0)))) &amp;" ,NULL ,GetDate() ,'scrc' ,GetDate() ,'scrc')")</f>
        <v/>
      </c>
      <c r="AK74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5" spans="1:37" x14ac:dyDescent="0.25">
      <c r="A75" s="36"/>
      <c r="B75" s="36"/>
      <c r="C75" s="64"/>
      <c r="D75" s="64"/>
      <c r="E75" s="63"/>
      <c r="F75" s="64"/>
      <c r="G75" s="64"/>
      <c r="H75" s="64"/>
      <c r="I75" s="64"/>
      <c r="J75" s="64"/>
      <c r="K75" s="64"/>
      <c r="L75" s="64"/>
      <c r="M75" s="63"/>
      <c r="N75" s="63"/>
      <c r="O75" s="63"/>
      <c r="P75" s="63"/>
      <c r="Q75" s="64"/>
      <c r="R75" s="63"/>
      <c r="S75" s="63"/>
      <c r="T75" s="65"/>
      <c r="U75" s="65"/>
      <c r="W75" s="42" t="e">
        <f>VLOOKUP($I75,'AnmeldeVSS-Attribute'!$A$2:$H$16,2,FALSE)</f>
        <v>#N/A</v>
      </c>
      <c r="X75" s="42" t="e">
        <f>VLOOKUP($I75,'AnmeldeVSS-Attribute'!$A$2:$H$16,3,FALSE)</f>
        <v>#N/A</v>
      </c>
      <c r="Y75" s="42" t="e">
        <f>VLOOKUP($I75,'AnmeldeVSS-Attribute'!$A$2:$H$16,4,FALSE)</f>
        <v>#N/A</v>
      </c>
      <c r="Z75" s="42" t="e">
        <f>VLOOKUP($I75,'AnmeldeVSS-Attribute'!$A$2:$H$16,5,FALSE)</f>
        <v>#N/A</v>
      </c>
      <c r="AA75" s="42" t="e">
        <f>VLOOKUP($I75,'AnmeldeVSS-Attribute'!$A$2:$H$16,6,FALSE)</f>
        <v>#N/A</v>
      </c>
      <c r="AB75" s="42" t="e">
        <f>VLOOKUP($I75,'AnmeldeVSS-Attribute'!$A$2:$H$16,7,FALSE)</f>
        <v>#N/A</v>
      </c>
      <c r="AC75" s="42" t="e">
        <f>IF(I75="Geldbetrag",J75,(IF(T75="",VLOOKUP($I75,'AnmeldeVSS-Attribute'!$A$2:$H$16,8,FALSE),T75)))</f>
        <v>#N/A</v>
      </c>
      <c r="AD75" s="42">
        <f>IF(S75="",0,VLOOKUP(S75,'AnmeldeVSS-Attribute'!$A$20:$B$26,2,FALSE))</f>
        <v>0</v>
      </c>
      <c r="AE75" s="42" t="e">
        <f t="shared" si="7"/>
        <v>#N/A</v>
      </c>
      <c r="AF75" s="42" t="str">
        <f t="shared" si="9"/>
        <v/>
      </c>
      <c r="AG75" s="42" t="str">
        <f t="shared" si="8"/>
        <v/>
      </c>
      <c r="AH75" s="47" t="str">
        <f t="shared" si="10"/>
        <v/>
      </c>
      <c r="AI75" s="47" t="str">
        <f t="shared" si="11"/>
        <v/>
      </c>
      <c r="AJ75" s="42" t="str">
        <f>IF(O75="",(IF(P75="Ansicht","INSERT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B75 &amp;" ,NULL ,'',349,"&amp; VLOOKUP(Q75,'AnmeldeVSS-Attribute'!$A$43:$B$50,2,FALSE)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B75 &amp;" ,"&amp; O75 &amp;" ,"&amp; IF(Q75="ja","'1'",IF(Q75="nein","'0'","'"&amp;Q75&amp;"'")) &amp;","&amp;IF(P75="enthält",349,IF(P75="nicht leer",352,IF(P75="enthält nicht",350,IF(P75="leer",351,0)))) &amp;" ,NULL ,GetDate() ,'scrc' ,GetDate() ,'scrc')")</f>
        <v/>
      </c>
      <c r="AK75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6" spans="1:37" x14ac:dyDescent="0.25">
      <c r="A76" s="66"/>
      <c r="B76" s="66"/>
      <c r="C76" s="64"/>
      <c r="D76" s="64"/>
      <c r="E76" s="63"/>
      <c r="F76" s="64"/>
      <c r="G76" s="64"/>
      <c r="H76" s="64"/>
      <c r="I76" s="64"/>
      <c r="J76" s="64"/>
      <c r="K76" s="64"/>
      <c r="L76" s="64"/>
      <c r="M76" s="66"/>
      <c r="N76" s="63"/>
      <c r="O76" s="63"/>
      <c r="P76" s="63"/>
      <c r="Q76" s="64"/>
      <c r="R76" s="63"/>
      <c r="S76" s="63"/>
      <c r="T76" s="65"/>
      <c r="U76" s="65"/>
      <c r="W76" s="42" t="e">
        <f>VLOOKUP($I76,'AnmeldeVSS-Attribute'!$A$2:$H$16,2,FALSE)</f>
        <v>#N/A</v>
      </c>
      <c r="X76" s="42" t="e">
        <f>VLOOKUP($I76,'AnmeldeVSS-Attribute'!$A$2:$H$16,3,FALSE)</f>
        <v>#N/A</v>
      </c>
      <c r="Y76" s="42" t="e">
        <f>VLOOKUP($I76,'AnmeldeVSS-Attribute'!$A$2:$H$16,4,FALSE)</f>
        <v>#N/A</v>
      </c>
      <c r="Z76" s="42" t="e">
        <f>VLOOKUP($I76,'AnmeldeVSS-Attribute'!$A$2:$H$16,5,FALSE)</f>
        <v>#N/A</v>
      </c>
      <c r="AA76" s="42" t="e">
        <f>VLOOKUP($I76,'AnmeldeVSS-Attribute'!$A$2:$H$16,6,FALSE)</f>
        <v>#N/A</v>
      </c>
      <c r="AB76" s="42" t="e">
        <f>VLOOKUP($I76,'AnmeldeVSS-Attribute'!$A$2:$H$16,7,FALSE)</f>
        <v>#N/A</v>
      </c>
      <c r="AC76" s="42" t="e">
        <f>IF(I76="Geldbetrag",J76,(IF(T76="",VLOOKUP($I76,'AnmeldeVSS-Attribute'!$A$2:$H$16,8,FALSE),T76)))</f>
        <v>#N/A</v>
      </c>
      <c r="AD76" s="42">
        <f>IF(S76="",0,VLOOKUP(S76,'AnmeldeVSS-Attribute'!$A$20:$B$26,2,FALSE))</f>
        <v>0</v>
      </c>
      <c r="AE76" s="42" t="e">
        <f t="shared" si="7"/>
        <v>#N/A</v>
      </c>
      <c r="AF76" s="42" t="str">
        <f t="shared" si="9"/>
        <v/>
      </c>
      <c r="AG76" s="42" t="str">
        <f t="shared" si="8"/>
        <v/>
      </c>
      <c r="AH76" s="47" t="str">
        <f t="shared" si="10"/>
        <v/>
      </c>
      <c r="AI76" s="47" t="str">
        <f t="shared" si="11"/>
        <v/>
      </c>
      <c r="AJ76" s="42" t="str">
        <f>IF(O76="",(IF(P76="Ansicht","INSERT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B76 &amp;" ,NULL ,'',349,"&amp; VLOOKUP(Q76,'AnmeldeVSS-Attribute'!$A$43:$B$50,2,FALSE)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B76 &amp;" ,"&amp; O76 &amp;" ,"&amp; IF(Q76="ja","'1'",IF(Q76="nein","'0'","'"&amp;Q76&amp;"'")) &amp;","&amp;IF(P76="enthält",349,IF(P76="nicht leer",352,IF(P76="enthält nicht",350,IF(P76="leer",351,0)))) &amp;" ,NULL ,GetDate() ,'scrc' ,GetDate() ,'scrc')")</f>
        <v/>
      </c>
      <c r="AK76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7" spans="1:37" x14ac:dyDescent="0.25">
      <c r="A77" s="66"/>
      <c r="B77" s="66"/>
      <c r="C77" s="64"/>
      <c r="D77" s="52"/>
      <c r="E77" s="63"/>
      <c r="F77" s="64"/>
      <c r="G77" s="64"/>
      <c r="H77" s="64"/>
      <c r="I77" s="64"/>
      <c r="J77" s="64"/>
      <c r="K77" s="64"/>
      <c r="L77" s="64"/>
      <c r="M77" s="63"/>
      <c r="N77" s="63"/>
      <c r="O77" s="63"/>
      <c r="P77" s="63"/>
      <c r="Q77" s="64"/>
      <c r="R77" s="63"/>
      <c r="S77" s="63"/>
      <c r="T77" s="65"/>
      <c r="U77" s="65"/>
      <c r="W77" s="42" t="e">
        <f>VLOOKUP($I77,'AnmeldeVSS-Attribute'!$A$2:$H$16,2,FALSE)</f>
        <v>#N/A</v>
      </c>
      <c r="X77" s="42" t="e">
        <f>VLOOKUP($I77,'AnmeldeVSS-Attribute'!$A$2:$H$16,3,FALSE)</f>
        <v>#N/A</v>
      </c>
      <c r="Y77" s="42" t="e">
        <f>VLOOKUP($I77,'AnmeldeVSS-Attribute'!$A$2:$H$16,4,FALSE)</f>
        <v>#N/A</v>
      </c>
      <c r="Z77" s="42" t="e">
        <f>VLOOKUP($I77,'AnmeldeVSS-Attribute'!$A$2:$H$16,5,FALSE)</f>
        <v>#N/A</v>
      </c>
      <c r="AA77" s="42" t="e">
        <f>VLOOKUP($I77,'AnmeldeVSS-Attribute'!$A$2:$H$16,6,FALSE)</f>
        <v>#N/A</v>
      </c>
      <c r="AB77" s="42" t="e">
        <f>VLOOKUP($I77,'AnmeldeVSS-Attribute'!$A$2:$H$16,7,FALSE)</f>
        <v>#N/A</v>
      </c>
      <c r="AC77" s="42" t="e">
        <f>IF(I77="Geldbetrag",J77,(IF(T77="",VLOOKUP($I77,'AnmeldeVSS-Attribute'!$A$2:$H$16,8,FALSE),T77)))</f>
        <v>#N/A</v>
      </c>
      <c r="AD77" s="42">
        <f>IF(S77="",0,VLOOKUP(S77,'AnmeldeVSS-Attribute'!$A$20:$B$26,2,FALSE))</f>
        <v>0</v>
      </c>
      <c r="AE77" s="42" t="e">
        <f t="shared" si="7"/>
        <v>#N/A</v>
      </c>
      <c r="AF77" s="42" t="str">
        <f t="shared" si="9"/>
        <v/>
      </c>
      <c r="AG77" s="42" t="str">
        <f t="shared" si="8"/>
        <v/>
      </c>
      <c r="AH77" s="47" t="str">
        <f t="shared" si="10"/>
        <v/>
      </c>
      <c r="AI77" s="47" t="str">
        <f t="shared" si="11"/>
        <v/>
      </c>
      <c r="AJ77" s="42" t="str">
        <f>IF(O77="",(IF(P77="Ansicht","INSERT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B77 &amp;" ,NULL ,'',349,"&amp; VLOOKUP(Q77,'AnmeldeVSS-Attribute'!$A$43:$B$50,2,FALSE)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B77 &amp;" ,"&amp; O77 &amp;" ,"&amp; IF(Q77="ja","'1'",IF(Q77="nein","'0'","'"&amp;Q77&amp;"'")) &amp;","&amp;IF(P77="enthält",349,IF(P77="nicht leer",352,IF(P77="enthält nicht",350,IF(P77="leer",351,0)))) &amp;" ,NULL ,GetDate() ,'scrc' ,GetDate() ,'scrc')")</f>
        <v/>
      </c>
      <c r="AK77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8" spans="1:37" x14ac:dyDescent="0.25">
      <c r="A78" s="66"/>
      <c r="B78" s="66"/>
      <c r="C78" s="64"/>
      <c r="D78" s="64"/>
      <c r="E78" s="63"/>
      <c r="F78" s="64"/>
      <c r="G78" s="64"/>
      <c r="H78" s="64"/>
      <c r="I78" s="64"/>
      <c r="J78" s="64"/>
      <c r="K78" s="64"/>
      <c r="L78" s="64"/>
      <c r="M78" s="63"/>
      <c r="N78" s="63"/>
      <c r="O78" s="63"/>
      <c r="P78" s="63"/>
      <c r="Q78" s="64"/>
      <c r="R78" s="63"/>
      <c r="S78" s="63"/>
      <c r="T78" s="65"/>
      <c r="U78" s="65"/>
      <c r="W78" s="42" t="e">
        <f>VLOOKUP($I78,'AnmeldeVSS-Attribute'!$A$2:$H$16,2,FALSE)</f>
        <v>#N/A</v>
      </c>
      <c r="X78" s="42" t="e">
        <f>VLOOKUP($I78,'AnmeldeVSS-Attribute'!$A$2:$H$16,3,FALSE)</f>
        <v>#N/A</v>
      </c>
      <c r="Y78" s="42" t="e">
        <f>VLOOKUP($I78,'AnmeldeVSS-Attribute'!$A$2:$H$16,4,FALSE)</f>
        <v>#N/A</v>
      </c>
      <c r="Z78" s="42" t="e">
        <f>VLOOKUP($I78,'AnmeldeVSS-Attribute'!$A$2:$H$16,5,FALSE)</f>
        <v>#N/A</v>
      </c>
      <c r="AA78" s="42" t="e">
        <f>VLOOKUP($I78,'AnmeldeVSS-Attribute'!$A$2:$H$16,6,FALSE)</f>
        <v>#N/A</v>
      </c>
      <c r="AB78" s="42" t="e">
        <f>VLOOKUP($I78,'AnmeldeVSS-Attribute'!$A$2:$H$16,7,FALSE)</f>
        <v>#N/A</v>
      </c>
      <c r="AC78" s="42" t="e">
        <f>IF(I78="Geldbetrag",J78,(IF(T78="",VLOOKUP($I78,'AnmeldeVSS-Attribute'!$A$2:$H$16,8,FALSE),T78)))</f>
        <v>#N/A</v>
      </c>
      <c r="AD78" s="42">
        <f>IF(S78="",0,VLOOKUP(S78,'AnmeldeVSS-Attribute'!$A$20:$B$26,2,FALSE))</f>
        <v>0</v>
      </c>
      <c r="AE78" s="42" t="e">
        <f t="shared" si="7"/>
        <v>#N/A</v>
      </c>
      <c r="AF78" s="42" t="str">
        <f t="shared" si="9"/>
        <v/>
      </c>
      <c r="AG78" s="42" t="str">
        <f t="shared" si="8"/>
        <v/>
      </c>
      <c r="AH78" s="47" t="str">
        <f t="shared" si="10"/>
        <v/>
      </c>
      <c r="AI78" s="47" t="str">
        <f t="shared" si="11"/>
        <v/>
      </c>
      <c r="AJ78" s="42" t="str">
        <f>IF(O78="",(IF(P78="Ansicht","INSERT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B78 &amp;" ,NULL ,'',349,"&amp; VLOOKUP(Q78,'AnmeldeVSS-Attribute'!$A$43:$B$50,2,FALSE)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B78 &amp;" ,"&amp; O78 &amp;" ,"&amp; IF(Q78="ja","'1'",IF(Q78="nein","'0'","'"&amp;Q78&amp;"'")) &amp;","&amp;IF(P78="enthält",349,IF(P78="nicht leer",352,IF(P78="enthält nicht",350,IF(P78="leer",351,0)))) &amp;" ,NULL ,GetDate() ,'scrc' ,GetDate() ,'scrc')")</f>
        <v/>
      </c>
      <c r="AK78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79" spans="1:37" x14ac:dyDescent="0.25">
      <c r="A79" s="36"/>
      <c r="B79" s="36"/>
      <c r="C79" s="68"/>
      <c r="D79" s="68"/>
      <c r="E79" s="66"/>
      <c r="F79" s="68"/>
      <c r="G79" s="68"/>
      <c r="H79" s="68"/>
      <c r="I79" s="68"/>
      <c r="J79" s="68"/>
      <c r="K79" s="68"/>
      <c r="L79" s="68"/>
      <c r="M79" s="66"/>
      <c r="N79" s="66"/>
      <c r="O79" s="66"/>
      <c r="P79" s="66"/>
      <c r="Q79" s="68"/>
      <c r="R79" s="66"/>
      <c r="S79" s="66"/>
      <c r="T79" s="65"/>
      <c r="U79" s="65"/>
      <c r="W79" s="42" t="e">
        <f>VLOOKUP($I79,'AnmeldeVSS-Attribute'!$A$2:$H$16,2,FALSE)</f>
        <v>#N/A</v>
      </c>
      <c r="X79" s="42" t="e">
        <f>VLOOKUP($I79,'AnmeldeVSS-Attribute'!$A$2:$H$16,3,FALSE)</f>
        <v>#N/A</v>
      </c>
      <c r="Y79" s="42" t="e">
        <f>VLOOKUP($I79,'AnmeldeVSS-Attribute'!$A$2:$H$16,4,FALSE)</f>
        <v>#N/A</v>
      </c>
      <c r="Z79" s="42" t="e">
        <f>VLOOKUP($I79,'AnmeldeVSS-Attribute'!$A$2:$H$16,5,FALSE)</f>
        <v>#N/A</v>
      </c>
      <c r="AA79" s="42" t="e">
        <f>VLOOKUP($I79,'AnmeldeVSS-Attribute'!$A$2:$H$16,6,FALSE)</f>
        <v>#N/A</v>
      </c>
      <c r="AB79" s="42" t="e">
        <f>VLOOKUP($I79,'AnmeldeVSS-Attribute'!$A$2:$H$16,7,FALSE)</f>
        <v>#N/A</v>
      </c>
      <c r="AC79" s="42" t="e">
        <f>IF(I79="Geldbetrag",J79,(IF(T79="",VLOOKUP($I79,'AnmeldeVSS-Attribute'!$A$2:$H$16,8,FALSE),T79)))</f>
        <v>#N/A</v>
      </c>
      <c r="AD79" s="42">
        <f>IF(S79="",0,VLOOKUP(S79,'AnmeldeVSS-Attribute'!$A$20:$B$26,2,FALSE))</f>
        <v>0</v>
      </c>
      <c r="AE79" s="42" t="e">
        <f t="shared" si="7"/>
        <v>#N/A</v>
      </c>
      <c r="AF79" s="42" t="str">
        <f t="shared" si="9"/>
        <v/>
      </c>
      <c r="AG79" s="42" t="str">
        <f t="shared" si="8"/>
        <v/>
      </c>
      <c r="AH79" s="47" t="str">
        <f t="shared" si="10"/>
        <v/>
      </c>
      <c r="AI79" s="47" t="str">
        <f t="shared" si="11"/>
        <v/>
      </c>
      <c r="AJ79" s="42" t="str">
        <f>IF(O79="",(IF(P79="Ansicht","INSERT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B79 &amp;" ,NULL ,'',349,"&amp; VLOOKUP(Q79,'AnmeldeVSS-Attribute'!$A$43:$B$50,2,FALSE)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B79 &amp;" ,"&amp; O79 &amp;" ,"&amp; IF(Q79="ja","'1'",IF(Q79="nein","'0'","'"&amp;Q79&amp;"'")) &amp;","&amp;IF(P79="enthält",349,IF(P79="nicht leer",352,IF(P79="enthält nicht",350,IF(P79="leer",351,0)))) &amp;" ,NULL ,GetDate() ,'scrc' ,GetDate() ,'scrc')")</f>
        <v/>
      </c>
      <c r="AK79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0" spans="1:37" x14ac:dyDescent="0.25">
      <c r="A80" s="66"/>
      <c r="B80" s="66"/>
      <c r="C80" s="64"/>
      <c r="D80" s="64"/>
      <c r="E80" s="63"/>
      <c r="F80" s="64"/>
      <c r="G80" s="64"/>
      <c r="H80" s="64"/>
      <c r="I80" s="64"/>
      <c r="J80" s="64"/>
      <c r="K80" s="64"/>
      <c r="L80" s="64"/>
      <c r="M80" s="63"/>
      <c r="N80" s="63"/>
      <c r="O80" s="63"/>
      <c r="P80" s="63"/>
      <c r="Q80" s="64"/>
      <c r="R80" s="63"/>
      <c r="S80" s="63"/>
      <c r="T80" s="65"/>
      <c r="U80" s="65"/>
      <c r="W80" s="42" t="e">
        <f>VLOOKUP($I80,'AnmeldeVSS-Attribute'!$A$2:$H$16,2,FALSE)</f>
        <v>#N/A</v>
      </c>
      <c r="X80" s="42" t="e">
        <f>VLOOKUP($I80,'AnmeldeVSS-Attribute'!$A$2:$H$16,3,FALSE)</f>
        <v>#N/A</v>
      </c>
      <c r="Y80" s="42" t="e">
        <f>VLOOKUP($I80,'AnmeldeVSS-Attribute'!$A$2:$H$16,4,FALSE)</f>
        <v>#N/A</v>
      </c>
      <c r="Z80" s="42" t="e">
        <f>VLOOKUP($I80,'AnmeldeVSS-Attribute'!$A$2:$H$16,5,FALSE)</f>
        <v>#N/A</v>
      </c>
      <c r="AA80" s="42" t="e">
        <f>VLOOKUP($I80,'AnmeldeVSS-Attribute'!$A$2:$H$16,6,FALSE)</f>
        <v>#N/A</v>
      </c>
      <c r="AB80" s="42" t="e">
        <f>VLOOKUP($I80,'AnmeldeVSS-Attribute'!$A$2:$H$16,7,FALSE)</f>
        <v>#N/A</v>
      </c>
      <c r="AC80" s="42" t="e">
        <f>IF(I80="Geldbetrag",J80,(IF(T80="",VLOOKUP($I80,'AnmeldeVSS-Attribute'!$A$2:$H$16,8,FALSE),T80)))</f>
        <v>#N/A</v>
      </c>
      <c r="AD80" s="42">
        <f>IF(S80="",0,VLOOKUP(S80,'AnmeldeVSS-Attribute'!$A$20:$B$26,2,FALSE))</f>
        <v>0</v>
      </c>
      <c r="AE80" s="42" t="e">
        <f t="shared" si="7"/>
        <v>#N/A</v>
      </c>
      <c r="AF80" s="42" t="str">
        <f t="shared" si="9"/>
        <v/>
      </c>
      <c r="AG80" s="42" t="str">
        <f t="shared" si="8"/>
        <v/>
      </c>
      <c r="AH80" s="47" t="str">
        <f t="shared" si="10"/>
        <v/>
      </c>
      <c r="AI80" s="47" t="str">
        <f t="shared" si="11"/>
        <v/>
      </c>
      <c r="AJ80" s="42" t="str">
        <f>IF(O80="",(IF(P80="Ansicht","INSERT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B80 &amp;" ,NULL ,'',349,"&amp; VLOOKUP(Q80,'AnmeldeVSS-Attribute'!$A$43:$B$50,2,FALSE)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B80 &amp;" ,"&amp; O80 &amp;" ,"&amp; IF(Q80="ja","'1'",IF(Q80="nein","'0'","'"&amp;Q80&amp;"'")) &amp;","&amp;IF(P80="enthält",349,IF(P80="nicht leer",352,IF(P80="enthält nicht",350,IF(P80="leer",351,0)))) &amp;" ,NULL ,GetDate() ,'scrc' ,GetDate() ,'scrc')")</f>
        <v/>
      </c>
      <c r="AK80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1" spans="1:37" x14ac:dyDescent="0.25">
      <c r="A81" s="36"/>
      <c r="B81" s="36"/>
      <c r="C81" s="68"/>
      <c r="D81" s="68"/>
      <c r="E81" s="66"/>
      <c r="F81" s="68"/>
      <c r="G81" s="68"/>
      <c r="H81" s="68"/>
      <c r="I81" s="68"/>
      <c r="J81" s="68"/>
      <c r="K81" s="68"/>
      <c r="L81" s="68"/>
      <c r="M81" s="66"/>
      <c r="N81" s="66"/>
      <c r="O81" s="66"/>
      <c r="P81" s="66"/>
      <c r="Q81" s="68"/>
      <c r="R81" s="66"/>
      <c r="S81" s="66"/>
      <c r="T81" s="65"/>
      <c r="U81" s="65"/>
      <c r="W81" s="42" t="e">
        <f>VLOOKUP($I81,'AnmeldeVSS-Attribute'!$A$2:$H$16,2,FALSE)</f>
        <v>#N/A</v>
      </c>
      <c r="X81" s="42" t="e">
        <f>VLOOKUP($I81,'AnmeldeVSS-Attribute'!$A$2:$H$16,3,FALSE)</f>
        <v>#N/A</v>
      </c>
      <c r="Y81" s="42" t="e">
        <f>VLOOKUP($I81,'AnmeldeVSS-Attribute'!$A$2:$H$16,4,FALSE)</f>
        <v>#N/A</v>
      </c>
      <c r="Z81" s="42" t="e">
        <f>VLOOKUP($I81,'AnmeldeVSS-Attribute'!$A$2:$H$16,5,FALSE)</f>
        <v>#N/A</v>
      </c>
      <c r="AA81" s="42" t="e">
        <f>VLOOKUP($I81,'AnmeldeVSS-Attribute'!$A$2:$H$16,6,FALSE)</f>
        <v>#N/A</v>
      </c>
      <c r="AB81" s="42" t="e">
        <f>VLOOKUP($I81,'AnmeldeVSS-Attribute'!$A$2:$H$16,7,FALSE)</f>
        <v>#N/A</v>
      </c>
      <c r="AC81" s="42" t="e">
        <f>IF(I81="Geldbetrag",J81,(IF(T81="",VLOOKUP($I81,'AnmeldeVSS-Attribute'!$A$2:$H$16,8,FALSE),T81)))</f>
        <v>#N/A</v>
      </c>
      <c r="AD81" s="42">
        <f>IF(S81="",0,VLOOKUP(S81,'AnmeldeVSS-Attribute'!$A$20:$B$26,2,FALSE))</f>
        <v>0</v>
      </c>
      <c r="AE81" s="42" t="e">
        <f t="shared" si="7"/>
        <v>#N/A</v>
      </c>
      <c r="AF81" s="42" t="str">
        <f t="shared" si="9"/>
        <v/>
      </c>
      <c r="AG81" s="42" t="str">
        <f t="shared" si="8"/>
        <v/>
      </c>
      <c r="AH81" s="47" t="str">
        <f t="shared" si="10"/>
        <v/>
      </c>
      <c r="AI81" s="47" t="str">
        <f t="shared" si="11"/>
        <v/>
      </c>
      <c r="AJ81" s="42" t="str">
        <f>IF(O81="",(IF(P81="Ansicht","INSERT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B81 &amp;" ,NULL ,'',349,"&amp; VLOOKUP(Q81,'AnmeldeVSS-Attribute'!$A$43:$B$50,2,FALSE)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B81 &amp;" ,"&amp; O81 &amp;" ,"&amp; IF(Q81="ja","'1'",IF(Q81="nein","'0'","'"&amp;Q81&amp;"'")) &amp;","&amp;IF(P81="enthält",349,IF(P81="nicht leer",352,IF(P81="enthält nicht",350,IF(P81="leer",351,0)))) &amp;" ,NULL ,GetDate() ,'scrc' ,GetDate() ,'scrc')")</f>
        <v/>
      </c>
      <c r="AK81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2" spans="1:37" x14ac:dyDescent="0.25">
      <c r="A82" s="36"/>
      <c r="B82" s="36"/>
      <c r="C82" s="68"/>
      <c r="D82" s="68"/>
      <c r="E82" s="66"/>
      <c r="F82" s="68"/>
      <c r="G82" s="68"/>
      <c r="H82" s="68"/>
      <c r="I82" s="68"/>
      <c r="J82" s="68"/>
      <c r="K82" s="53"/>
      <c r="L82" s="68"/>
      <c r="M82" s="66"/>
      <c r="N82" s="66"/>
      <c r="O82" s="66"/>
      <c r="P82" s="66"/>
      <c r="Q82" s="68"/>
      <c r="R82" s="66"/>
      <c r="S82" s="66"/>
      <c r="T82" s="65"/>
      <c r="U82" s="65"/>
      <c r="W82" s="42" t="e">
        <f>VLOOKUP($I82,'AnmeldeVSS-Attribute'!$A$2:$H$16,2,FALSE)</f>
        <v>#N/A</v>
      </c>
      <c r="X82" s="42" t="e">
        <f>VLOOKUP($I82,'AnmeldeVSS-Attribute'!$A$2:$H$16,3,FALSE)</f>
        <v>#N/A</v>
      </c>
      <c r="Y82" s="42" t="e">
        <f>VLOOKUP($I82,'AnmeldeVSS-Attribute'!$A$2:$H$16,4,FALSE)</f>
        <v>#N/A</v>
      </c>
      <c r="Z82" s="42" t="e">
        <f>VLOOKUP($I82,'AnmeldeVSS-Attribute'!$A$2:$H$16,5,FALSE)</f>
        <v>#N/A</v>
      </c>
      <c r="AA82" s="42" t="e">
        <f>VLOOKUP($I82,'AnmeldeVSS-Attribute'!$A$2:$H$16,6,FALSE)</f>
        <v>#N/A</v>
      </c>
      <c r="AB82" s="42" t="e">
        <f>VLOOKUP($I82,'AnmeldeVSS-Attribute'!$A$2:$H$16,7,FALSE)</f>
        <v>#N/A</v>
      </c>
      <c r="AC82" s="42" t="e">
        <f>IF(I82="Geldbetrag",J82,(IF(T82="",VLOOKUP($I82,'AnmeldeVSS-Attribute'!$A$2:$H$16,8,FALSE),T82)))</f>
        <v>#N/A</v>
      </c>
      <c r="AD82" s="42">
        <f>IF(S82="",0,VLOOKUP(S82,'AnmeldeVSS-Attribute'!$A$20:$B$26,2,FALSE))</f>
        <v>0</v>
      </c>
      <c r="AE82" s="42" t="e">
        <f t="shared" si="7"/>
        <v>#N/A</v>
      </c>
      <c r="AF82" s="42" t="str">
        <f t="shared" si="9"/>
        <v/>
      </c>
      <c r="AG82" s="42" t="str">
        <f t="shared" si="8"/>
        <v/>
      </c>
      <c r="AH82" s="47" t="str">
        <f t="shared" si="10"/>
        <v/>
      </c>
      <c r="AI82" s="47" t="str">
        <f t="shared" si="11"/>
        <v/>
      </c>
      <c r="AJ82" s="42" t="str">
        <f>IF(O82="",(IF(P82="Ansicht","INSERT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B82 &amp;" ,NULL ,'',349,"&amp; VLOOKUP(Q82,'AnmeldeVSS-Attribute'!$A$43:$B$50,2,FALSE)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B82 &amp;" ,"&amp; O82 &amp;" ,"&amp; IF(Q82="ja","'1'",IF(Q82="nein","'0'","'"&amp;Q82&amp;"'")) &amp;","&amp;IF(P82="enthält",349,IF(P82="nicht leer",352,IF(P82="enthält nicht",350,IF(P82="leer",351,0)))) &amp;" ,NULL ,GetDate() ,'scrc' ,GetDate() ,'scrc')")</f>
        <v/>
      </c>
      <c r="AK82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3" spans="1:37" x14ac:dyDescent="0.25">
      <c r="A83" s="36"/>
      <c r="B83" s="36"/>
      <c r="C83" s="64"/>
      <c r="D83" s="64"/>
      <c r="E83" s="63"/>
      <c r="F83" s="64"/>
      <c r="G83" s="64"/>
      <c r="H83" s="64"/>
      <c r="I83" s="64"/>
      <c r="J83" s="64"/>
      <c r="K83" s="64"/>
      <c r="L83" s="64"/>
      <c r="M83" s="63"/>
      <c r="N83" s="63"/>
      <c r="O83" s="63"/>
      <c r="P83" s="63"/>
      <c r="Q83" s="64"/>
      <c r="R83" s="63"/>
      <c r="S83" s="63"/>
      <c r="T83" s="65"/>
      <c r="U83" s="65"/>
      <c r="W83" s="42" t="e">
        <f>VLOOKUP($I83,'AnmeldeVSS-Attribute'!$A$2:$H$16,2,FALSE)</f>
        <v>#N/A</v>
      </c>
      <c r="X83" s="42" t="e">
        <f>VLOOKUP($I83,'AnmeldeVSS-Attribute'!$A$2:$H$16,3,FALSE)</f>
        <v>#N/A</v>
      </c>
      <c r="Y83" s="42" t="e">
        <f>VLOOKUP($I83,'AnmeldeVSS-Attribute'!$A$2:$H$16,4,FALSE)</f>
        <v>#N/A</v>
      </c>
      <c r="Z83" s="42" t="e">
        <f>VLOOKUP($I83,'AnmeldeVSS-Attribute'!$A$2:$H$16,5,FALSE)</f>
        <v>#N/A</v>
      </c>
      <c r="AA83" s="42" t="e">
        <f>VLOOKUP($I83,'AnmeldeVSS-Attribute'!$A$2:$H$16,6,FALSE)</f>
        <v>#N/A</v>
      </c>
      <c r="AB83" s="42" t="e">
        <f>VLOOKUP($I83,'AnmeldeVSS-Attribute'!$A$2:$H$16,7,FALSE)</f>
        <v>#N/A</v>
      </c>
      <c r="AC83" s="42" t="e">
        <f>IF(I83="Geldbetrag",J83,(IF(T83="",VLOOKUP($I83,'AnmeldeVSS-Attribute'!$A$2:$H$16,8,FALSE),T83)))</f>
        <v>#N/A</v>
      </c>
      <c r="AD83" s="42">
        <f>IF(S83="",0,VLOOKUP(S83,'AnmeldeVSS-Attribute'!$A$20:$B$26,2,FALSE))</f>
        <v>0</v>
      </c>
      <c r="AE83" s="42" t="e">
        <f t="shared" si="7"/>
        <v>#N/A</v>
      </c>
      <c r="AF83" s="42" t="str">
        <f t="shared" si="9"/>
        <v/>
      </c>
      <c r="AG83" s="42" t="str">
        <f t="shared" si="8"/>
        <v/>
      </c>
      <c r="AH83" s="47" t="str">
        <f t="shared" si="10"/>
        <v/>
      </c>
      <c r="AI83" s="47" t="str">
        <f t="shared" si="11"/>
        <v/>
      </c>
      <c r="AJ83" s="42" t="str">
        <f>IF(O83="",(IF(P83="Ansicht","INSERT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B83 &amp;" ,NULL ,'',349,"&amp; VLOOKUP(Q83,'AnmeldeVSS-Attribute'!$A$43:$B$50,2,FALSE)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B83 &amp;" ,"&amp; O83 &amp;" ,"&amp; IF(Q83="ja","'1'",IF(Q83="nein","'0'","'"&amp;Q83&amp;"'")) &amp;","&amp;IF(P83="enthält",349,IF(P83="nicht leer",352,IF(P83="enthält nicht",350,IF(P83="leer",351,0)))) &amp;" ,NULL ,GetDate() ,'scrc' ,GetDate() ,'scrc')")</f>
        <v/>
      </c>
      <c r="AK83" s="48" t="str">
        <f t="shared" si="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4" spans="1:37" x14ac:dyDescent="0.25">
      <c r="A84" s="66"/>
      <c r="B84" s="66"/>
      <c r="C84" s="68"/>
      <c r="D84" s="68"/>
      <c r="E84" s="66"/>
      <c r="F84" s="68"/>
      <c r="G84" s="68"/>
      <c r="H84" s="68"/>
      <c r="I84" s="68"/>
      <c r="J84" s="68"/>
      <c r="K84" s="68"/>
      <c r="L84" s="68"/>
      <c r="M84" s="66"/>
      <c r="N84" s="66"/>
      <c r="O84" s="66"/>
      <c r="P84" s="66"/>
      <c r="Q84" s="68"/>
      <c r="R84" s="66"/>
      <c r="S84" s="66"/>
      <c r="T84" s="33"/>
      <c r="U84" s="33"/>
      <c r="W84" s="42" t="e">
        <f>VLOOKUP($I84,'AnmeldeVSS-Attribute'!$A$2:$H$16,2,FALSE)</f>
        <v>#N/A</v>
      </c>
      <c r="X84" s="42" t="e">
        <f>VLOOKUP($I84,'AnmeldeVSS-Attribute'!$A$2:$H$16,3,FALSE)</f>
        <v>#N/A</v>
      </c>
      <c r="Y84" s="42" t="e">
        <f>VLOOKUP($I84,'AnmeldeVSS-Attribute'!$A$2:$H$16,4,FALSE)</f>
        <v>#N/A</v>
      </c>
      <c r="Z84" s="42" t="e">
        <f>VLOOKUP($I84,'AnmeldeVSS-Attribute'!$A$2:$H$16,5,FALSE)</f>
        <v>#N/A</v>
      </c>
      <c r="AA84" s="42" t="e">
        <f>VLOOKUP($I84,'AnmeldeVSS-Attribute'!$A$2:$H$16,6,FALSE)</f>
        <v>#N/A</v>
      </c>
      <c r="AB84" s="42" t="e">
        <f>VLOOKUP($I84,'AnmeldeVSS-Attribute'!$A$2:$H$16,7,FALSE)</f>
        <v>#N/A</v>
      </c>
      <c r="AC84" s="42" t="e">
        <f>IF(I84="Geldbetrag",J84,(IF(T84="",VLOOKUP($I84,'AnmeldeVSS-Attribute'!$A$2:$H$16,8,FALSE),T84)))</f>
        <v>#N/A</v>
      </c>
      <c r="AD84" s="42">
        <f>IF(S84="",0,VLOOKUP(S84,'AnmeldeVSS-Attribute'!$A$20:$B$26,2,FALSE))</f>
        <v>0</v>
      </c>
      <c r="AE84" s="42" t="e">
        <f t="shared" si="7"/>
        <v>#N/A</v>
      </c>
      <c r="AF84" s="42" t="str">
        <f t="shared" si="9"/>
        <v/>
      </c>
      <c r="AG84" s="42" t="str">
        <f t="shared" si="8"/>
        <v/>
      </c>
      <c r="AH84" s="47" t="str">
        <f t="shared" si="10"/>
        <v/>
      </c>
      <c r="AI84" s="47" t="str">
        <f t="shared" si="11"/>
        <v/>
      </c>
      <c r="AJ84" s="42" t="str">
        <f>IF(O84="",(IF(P84="Ansicht","INSERT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B84 &amp;" ,NULL ,'',349,"&amp; VLOOKUP(Q84,'AnmeldeVSS-Attribute'!$A$43:$B$50,2,FALSE)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B84 &amp;" ,"&amp; O84 &amp;" ,"&amp; IF(Q84="ja","'1'",IF(Q84="nein","'0'","'"&amp;Q84&amp;"'")) &amp;","&amp;IF(P84="enthält",349,IF(P84="nicht leer",352,IF(P84="enthält nicht",350,IF(P84="leer",351,0)))) &amp;" ,NULL ,GetDate() ,'scrc' ,GetDate() ,'scrc')")</f>
        <v/>
      </c>
      <c r="AK84" s="48" t="str">
        <f t="shared" ref="AK84:AK147" si="12">CONCATENATE("update tblAnmeldeVSS set AnmeldeVSSOTUseLegacyRowSource = 1, AnmeldeVssOTUseLegacyValueCalculation = 1, AnmeldeVSSRowSource='","Select ''",SUBSTITUTE(J84,",","'' where @kontextidlanguage = 1 union select ''"),"'' where @kontextidlanguage = 1 ","union select ''",SUBSTITUTE(K84,",","'' where @kontextidlanguage = 133 union select ''"),"'' where @kontextidlanguage = 133'"," where IDAnmeldeVSS ="&amp;B84&amp;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5" spans="1:37" x14ac:dyDescent="0.25">
      <c r="A85" s="36"/>
      <c r="B85" s="36"/>
      <c r="C85" s="64"/>
      <c r="D85" s="52"/>
      <c r="E85" s="63"/>
      <c r="F85" s="64"/>
      <c r="G85" s="64"/>
      <c r="H85" s="64"/>
      <c r="I85" s="64"/>
      <c r="J85" s="64"/>
      <c r="K85" s="64"/>
      <c r="L85" s="64"/>
      <c r="M85" s="63"/>
      <c r="N85" s="63"/>
      <c r="O85" s="63"/>
      <c r="P85" s="63"/>
      <c r="Q85" s="64"/>
      <c r="R85" s="63"/>
      <c r="S85" s="63"/>
      <c r="T85" s="65"/>
      <c r="U85" s="65"/>
      <c r="W85" s="42" t="e">
        <f>VLOOKUP($I85,'AnmeldeVSS-Attribute'!$A$2:$H$16,2,FALSE)</f>
        <v>#N/A</v>
      </c>
      <c r="X85" s="42" t="e">
        <f>VLOOKUP($I85,'AnmeldeVSS-Attribute'!$A$2:$H$16,3,FALSE)</f>
        <v>#N/A</v>
      </c>
      <c r="Y85" s="42" t="e">
        <f>VLOOKUP($I85,'AnmeldeVSS-Attribute'!$A$2:$H$16,4,FALSE)</f>
        <v>#N/A</v>
      </c>
      <c r="Z85" s="42" t="e">
        <f>VLOOKUP($I85,'AnmeldeVSS-Attribute'!$A$2:$H$16,5,FALSE)</f>
        <v>#N/A</v>
      </c>
      <c r="AA85" s="42" t="e">
        <f>VLOOKUP($I85,'AnmeldeVSS-Attribute'!$A$2:$H$16,6,FALSE)</f>
        <v>#N/A</v>
      </c>
      <c r="AB85" s="42" t="e">
        <f>VLOOKUP($I85,'AnmeldeVSS-Attribute'!$A$2:$H$16,7,FALSE)</f>
        <v>#N/A</v>
      </c>
      <c r="AC85" s="42" t="e">
        <f>IF(I85="Geldbetrag",J85,(IF(T85="",VLOOKUP($I85,'AnmeldeVSS-Attribute'!$A$2:$H$16,8,FALSE),T85)))</f>
        <v>#N/A</v>
      </c>
      <c r="AD85" s="42">
        <f>IF(S85="",0,VLOOKUP(S85,'AnmeldeVSS-Attribute'!$A$20:$B$26,2,FALSE))</f>
        <v>0</v>
      </c>
      <c r="AE85" s="42" t="e">
        <f t="shared" si="7"/>
        <v>#N/A</v>
      </c>
      <c r="AF85" s="42" t="str">
        <f t="shared" si="9"/>
        <v/>
      </c>
      <c r="AG85" s="42" t="str">
        <f t="shared" si="8"/>
        <v/>
      </c>
      <c r="AH85" s="47" t="str">
        <f t="shared" si="10"/>
        <v/>
      </c>
      <c r="AI85" s="47" t="str">
        <f t="shared" si="11"/>
        <v/>
      </c>
      <c r="AJ85" s="42" t="str">
        <f>IF(O85="",(IF(P85="Ansicht","INSERT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B85 &amp;" ,NULL ,'',349,"&amp; VLOOKUP(Q85,'AnmeldeVSS-Attribute'!$A$43:$B$50,2,FALSE)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B85 &amp;" ,"&amp; O85 &amp;" ,"&amp; IF(Q85="ja","'1'",IF(Q85="nein","'0'","'"&amp;Q85&amp;"'")) &amp;","&amp;IF(P85="enthält",349,IF(P85="nicht leer",352,IF(P85="enthält nicht",350,IF(P85="leer",351,0)))) &amp;" ,NULL ,GetDate() ,'scrc' ,GetDate() ,'scrc')")</f>
        <v/>
      </c>
      <c r="AK8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6" spans="1:37" s="35" customFormat="1" x14ac:dyDescent="0.25">
      <c r="A86" s="66"/>
      <c r="B86" s="66"/>
      <c r="C86" s="68"/>
      <c r="D86" s="68"/>
      <c r="E86" s="66"/>
      <c r="F86" s="68"/>
      <c r="G86" s="68"/>
      <c r="H86" s="68"/>
      <c r="I86" s="68"/>
      <c r="J86" s="68"/>
      <c r="K86" s="68"/>
      <c r="L86" s="68"/>
      <c r="M86" s="66"/>
      <c r="N86" s="66"/>
      <c r="O86" s="66"/>
      <c r="P86" s="66"/>
      <c r="Q86" s="68"/>
      <c r="R86" s="66"/>
      <c r="S86" s="66"/>
      <c r="T86" s="33"/>
      <c r="U86" s="33"/>
      <c r="W86" s="42" t="e">
        <f>VLOOKUP($I86,'AnmeldeVSS-Attribute'!$A$2:$H$16,2,FALSE)</f>
        <v>#N/A</v>
      </c>
      <c r="X86" s="42" t="e">
        <f>VLOOKUP($I86,'AnmeldeVSS-Attribute'!$A$2:$H$16,3,FALSE)</f>
        <v>#N/A</v>
      </c>
      <c r="Y86" s="42" t="e">
        <f>VLOOKUP($I86,'AnmeldeVSS-Attribute'!$A$2:$H$16,4,FALSE)</f>
        <v>#N/A</v>
      </c>
      <c r="Z86" s="42" t="e">
        <f>VLOOKUP($I86,'AnmeldeVSS-Attribute'!$A$2:$H$16,5,FALSE)</f>
        <v>#N/A</v>
      </c>
      <c r="AA86" s="42" t="e">
        <f>VLOOKUP($I86,'AnmeldeVSS-Attribute'!$A$2:$H$16,6,FALSE)</f>
        <v>#N/A</v>
      </c>
      <c r="AB86" s="42" t="e">
        <f>VLOOKUP($I86,'AnmeldeVSS-Attribute'!$A$2:$H$16,7,FALSE)</f>
        <v>#N/A</v>
      </c>
      <c r="AC86" s="42" t="e">
        <f>IF(I86="Geldbetrag",J86,(IF(T86="",VLOOKUP($I86,'AnmeldeVSS-Attribute'!$A$2:$H$16,8,FALSE),T86)))</f>
        <v>#N/A</v>
      </c>
      <c r="AD86" s="42">
        <f>IF(S86="",0,VLOOKUP(S86,'AnmeldeVSS-Attribute'!$A$20:$B$26,2,FALSE))</f>
        <v>0</v>
      </c>
      <c r="AE86" s="42" t="e">
        <f t="shared" si="7"/>
        <v>#N/A</v>
      </c>
      <c r="AF86" s="42" t="str">
        <f t="shared" si="9"/>
        <v/>
      </c>
      <c r="AG86" s="42" t="str">
        <f t="shared" si="8"/>
        <v/>
      </c>
      <c r="AH86" s="47" t="str">
        <f t="shared" si="10"/>
        <v/>
      </c>
      <c r="AI86" s="47" t="str">
        <f t="shared" si="11"/>
        <v/>
      </c>
      <c r="AJ86" s="42" t="str">
        <f>IF(O86="",(IF(P86="Ansicht","INSERT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B86 &amp;" ,NULL ,'',349,"&amp; VLOOKUP(Q86,'AnmeldeVSS-Attribute'!$A$43:$B$50,2,FALSE)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B86 &amp;" ,"&amp; O86 &amp;" ,"&amp; IF(Q86="ja","'1'",IF(Q86="nein","'0'","'"&amp;Q86&amp;"'")) &amp;","&amp;IF(P86="enthält",349,IF(P86="nicht leer",352,IF(P86="enthält nicht",350,IF(P86="leer",351,0)))) &amp;" ,NULL ,GetDate() ,'scrc' ,GetDate() ,'scrc')")</f>
        <v/>
      </c>
      <c r="AK8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7" spans="1:37" s="35" customFormat="1" x14ac:dyDescent="0.25">
      <c r="A87" s="36"/>
      <c r="B87" s="36"/>
      <c r="C87" s="64"/>
      <c r="D87" s="64"/>
      <c r="E87" s="63"/>
      <c r="F87" s="64"/>
      <c r="G87" s="64"/>
      <c r="H87" s="64"/>
      <c r="I87" s="64"/>
      <c r="J87" s="64"/>
      <c r="K87" s="64"/>
      <c r="L87" s="64"/>
      <c r="M87" s="63"/>
      <c r="N87" s="63"/>
      <c r="O87" s="63"/>
      <c r="P87" s="63"/>
      <c r="Q87" s="64"/>
      <c r="R87" s="63"/>
      <c r="S87" s="63"/>
      <c r="T87" s="65"/>
      <c r="U87" s="65"/>
      <c r="W87" s="42" t="e">
        <f>VLOOKUP($I87,'AnmeldeVSS-Attribute'!$A$2:$H$16,2,FALSE)</f>
        <v>#N/A</v>
      </c>
      <c r="X87" s="42" t="e">
        <f>VLOOKUP($I87,'AnmeldeVSS-Attribute'!$A$2:$H$16,3,FALSE)</f>
        <v>#N/A</v>
      </c>
      <c r="Y87" s="42" t="e">
        <f>VLOOKUP($I87,'AnmeldeVSS-Attribute'!$A$2:$H$16,4,FALSE)</f>
        <v>#N/A</v>
      </c>
      <c r="Z87" s="42" t="e">
        <f>VLOOKUP($I87,'AnmeldeVSS-Attribute'!$A$2:$H$16,5,FALSE)</f>
        <v>#N/A</v>
      </c>
      <c r="AA87" s="42" t="e">
        <f>VLOOKUP($I87,'AnmeldeVSS-Attribute'!$A$2:$H$16,6,FALSE)</f>
        <v>#N/A</v>
      </c>
      <c r="AB87" s="42" t="e">
        <f>VLOOKUP($I87,'AnmeldeVSS-Attribute'!$A$2:$H$16,7,FALSE)</f>
        <v>#N/A</v>
      </c>
      <c r="AC87" s="42" t="e">
        <f>IF(I87="Geldbetrag",J87,(IF(T87="",VLOOKUP($I87,'AnmeldeVSS-Attribute'!$A$2:$H$16,8,FALSE),T87)))</f>
        <v>#N/A</v>
      </c>
      <c r="AD87" s="42">
        <f>IF(S87="",0,VLOOKUP(S87,'AnmeldeVSS-Attribute'!$A$20:$B$26,2,FALSE))</f>
        <v>0</v>
      </c>
      <c r="AE87" s="42" t="e">
        <f t="shared" si="7"/>
        <v>#N/A</v>
      </c>
      <c r="AF87" s="42" t="str">
        <f t="shared" si="9"/>
        <v/>
      </c>
      <c r="AG87" s="42" t="str">
        <f t="shared" si="8"/>
        <v/>
      </c>
      <c r="AH87" s="47" t="str">
        <f t="shared" si="10"/>
        <v/>
      </c>
      <c r="AI87" s="47" t="str">
        <f t="shared" si="11"/>
        <v/>
      </c>
      <c r="AJ87" s="42" t="str">
        <f>IF(O87="",(IF(P87="Ansicht","INSERT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B87 &amp;" ,NULL ,'',349,"&amp; VLOOKUP(Q87,'AnmeldeVSS-Attribute'!$A$43:$B$50,2,FALSE)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B87 &amp;" ,"&amp; O87 &amp;" ,"&amp; IF(Q87="ja","'1'",IF(Q87="nein","'0'","'"&amp;Q87&amp;"'")) &amp;","&amp;IF(P87="enthält",349,IF(P87="nicht leer",352,IF(P87="enthält nicht",350,IF(P87="leer",351,0)))) &amp;" ,NULL ,GetDate() ,'scrc' ,GetDate() ,'scrc')")</f>
        <v/>
      </c>
      <c r="AK8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8" spans="1:37" x14ac:dyDescent="0.25">
      <c r="A88" s="66"/>
      <c r="B88" s="66"/>
      <c r="C88" s="68"/>
      <c r="D88" s="68"/>
      <c r="E88" s="66"/>
      <c r="F88" s="68"/>
      <c r="G88" s="68"/>
      <c r="H88" s="68"/>
      <c r="I88" s="68"/>
      <c r="J88" s="68"/>
      <c r="K88" s="53"/>
      <c r="L88" s="68"/>
      <c r="M88" s="66"/>
      <c r="N88" s="66"/>
      <c r="O88" s="66"/>
      <c r="P88" s="66"/>
      <c r="Q88" s="68"/>
      <c r="R88" s="66"/>
      <c r="S88" s="66"/>
      <c r="T88" s="33"/>
      <c r="U88" s="33"/>
      <c r="V88" s="42"/>
      <c r="W88" s="42" t="e">
        <f>VLOOKUP($I88,'AnmeldeVSS-Attribute'!$A$2:$H$16,2,FALSE)</f>
        <v>#N/A</v>
      </c>
      <c r="X88" s="42" t="e">
        <f>VLOOKUP($I88,'AnmeldeVSS-Attribute'!$A$2:$H$16,3,FALSE)</f>
        <v>#N/A</v>
      </c>
      <c r="Y88" s="42" t="e">
        <f>VLOOKUP($I88,'AnmeldeVSS-Attribute'!$A$2:$H$16,4,FALSE)</f>
        <v>#N/A</v>
      </c>
      <c r="Z88" s="42" t="e">
        <f>VLOOKUP($I88,'AnmeldeVSS-Attribute'!$A$2:$H$16,5,FALSE)</f>
        <v>#N/A</v>
      </c>
      <c r="AA88" s="42" t="e">
        <f>VLOOKUP($I88,'AnmeldeVSS-Attribute'!$A$2:$H$16,6,FALSE)</f>
        <v>#N/A</v>
      </c>
      <c r="AB88" s="42" t="e">
        <f>VLOOKUP($I88,'AnmeldeVSS-Attribute'!$A$2:$H$16,7,FALSE)</f>
        <v>#N/A</v>
      </c>
      <c r="AC88" s="42" t="e">
        <f>IF(I88="Geldbetrag",J88,(IF(T88="",VLOOKUP($I88,'AnmeldeVSS-Attribute'!$A$2:$H$16,8,FALSE),T88)))</f>
        <v>#N/A</v>
      </c>
      <c r="AD88" s="42">
        <f>IF(S88="",0,VLOOKUP(S88,'AnmeldeVSS-Attribute'!$A$20:$B$26,2,FALSE))</f>
        <v>0</v>
      </c>
      <c r="AE88" s="42" t="e">
        <f t="shared" si="7"/>
        <v>#N/A</v>
      </c>
      <c r="AF88" s="42" t="str">
        <f t="shared" si="9"/>
        <v/>
      </c>
      <c r="AG88" s="42" t="str">
        <f t="shared" si="8"/>
        <v/>
      </c>
      <c r="AH88" s="47" t="str">
        <f t="shared" si="10"/>
        <v/>
      </c>
      <c r="AI88" s="47" t="str">
        <f t="shared" si="11"/>
        <v/>
      </c>
      <c r="AJ88" s="42" t="str">
        <f>IF(O88="",(IF(P88="Ansicht","INSERT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B88 &amp;" ,NULL ,'',349,"&amp; VLOOKUP(Q88,'AnmeldeVSS-Attribute'!$A$43:$B$50,2,FALSE)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B88 &amp;" ,"&amp; O88 &amp;" ,"&amp; IF(Q88="ja","'1'",IF(Q88="nein","'0'","'"&amp;Q88&amp;"'")) &amp;","&amp;IF(P88="enthält",349,IF(P88="nicht leer",352,IF(P88="enthält nicht",350,IF(P88="leer",351,0)))) &amp;" ,NULL ,GetDate() ,'scrc' ,GetDate() ,'scrc')")</f>
        <v/>
      </c>
      <c r="AK8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89" spans="1:37" x14ac:dyDescent="0.25">
      <c r="A89" s="36"/>
      <c r="B89" s="36"/>
      <c r="C89" s="64"/>
      <c r="D89" s="64"/>
      <c r="E89" s="63"/>
      <c r="F89" s="64"/>
      <c r="G89" s="60"/>
      <c r="H89" s="60"/>
      <c r="I89" s="64"/>
      <c r="J89" s="64"/>
      <c r="K89" s="64"/>
      <c r="L89" s="64"/>
      <c r="M89" s="63"/>
      <c r="N89" s="63"/>
      <c r="O89" s="63"/>
      <c r="P89" s="63"/>
      <c r="Q89" s="64"/>
      <c r="R89" s="63"/>
      <c r="S89" s="63"/>
      <c r="T89" s="65"/>
      <c r="U89" s="65"/>
      <c r="W89" s="42" t="e">
        <f>VLOOKUP($I89,'AnmeldeVSS-Attribute'!$A$2:$H$16,2,FALSE)</f>
        <v>#N/A</v>
      </c>
      <c r="X89" s="42" t="e">
        <f>VLOOKUP($I89,'AnmeldeVSS-Attribute'!$A$2:$H$16,3,FALSE)</f>
        <v>#N/A</v>
      </c>
      <c r="Y89" s="42" t="e">
        <f>VLOOKUP($I89,'AnmeldeVSS-Attribute'!$A$2:$H$16,4,FALSE)</f>
        <v>#N/A</v>
      </c>
      <c r="Z89" s="42" t="e">
        <f>VLOOKUP($I89,'AnmeldeVSS-Attribute'!$A$2:$H$16,5,FALSE)</f>
        <v>#N/A</v>
      </c>
      <c r="AA89" s="42" t="e">
        <f>VLOOKUP($I89,'AnmeldeVSS-Attribute'!$A$2:$H$16,6,FALSE)</f>
        <v>#N/A</v>
      </c>
      <c r="AB89" s="42" t="e">
        <f>VLOOKUP($I89,'AnmeldeVSS-Attribute'!$A$2:$H$16,7,FALSE)</f>
        <v>#N/A</v>
      </c>
      <c r="AC89" s="42" t="e">
        <f>IF(I89="Geldbetrag",J89,(IF(T89="",VLOOKUP($I89,'AnmeldeVSS-Attribute'!$A$2:$H$16,8,FALSE),T89)))</f>
        <v>#N/A</v>
      </c>
      <c r="AD89" s="42">
        <f>IF(S89="",0,VLOOKUP(S89,'AnmeldeVSS-Attribute'!$A$20:$B$26,2,FALSE))</f>
        <v>0</v>
      </c>
      <c r="AE89" s="42" t="e">
        <f t="shared" si="7"/>
        <v>#N/A</v>
      </c>
      <c r="AF89" s="42" t="str">
        <f t="shared" si="9"/>
        <v/>
      </c>
      <c r="AG89" s="42" t="str">
        <f t="shared" si="8"/>
        <v/>
      </c>
      <c r="AH89" s="47" t="str">
        <f t="shared" si="10"/>
        <v/>
      </c>
      <c r="AI89" s="47" t="str">
        <f t="shared" si="11"/>
        <v/>
      </c>
      <c r="AJ89" s="42" t="str">
        <f>IF(O89="",(IF(P89="Ansicht","INSERT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B89 &amp;" ,NULL ,'',349,"&amp; VLOOKUP(Q89,'AnmeldeVSS-Attribute'!$A$43:$B$50,2,FALSE)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B89 &amp;" ,"&amp; O89 &amp;" ,"&amp; IF(Q89="ja","'1'",IF(Q89="nein","'0'","'"&amp;Q89&amp;"'")) &amp;","&amp;IF(P89="enthält",349,IF(P89="nicht leer",352,IF(P89="enthält nicht",350,IF(P89="leer",351,0)))) &amp;" ,NULL ,GetDate() ,'scrc' ,GetDate() ,'scrc')")</f>
        <v/>
      </c>
      <c r="AK8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0" spans="1:37" x14ac:dyDescent="0.25">
      <c r="A90" s="66"/>
      <c r="B90" s="66"/>
      <c r="C90" s="64"/>
      <c r="D90" s="64"/>
      <c r="E90" s="63"/>
      <c r="F90" s="64"/>
      <c r="G90" s="60"/>
      <c r="H90" s="60"/>
      <c r="I90" s="64"/>
      <c r="J90" s="64"/>
      <c r="K90" s="64"/>
      <c r="L90" s="64"/>
      <c r="M90" s="63"/>
      <c r="N90" s="63"/>
      <c r="O90" s="63"/>
      <c r="P90" s="63"/>
      <c r="Q90" s="64"/>
      <c r="R90" s="63"/>
      <c r="S90" s="63"/>
      <c r="T90" s="33"/>
      <c r="U90" s="33"/>
      <c r="W90" s="42" t="e">
        <f>VLOOKUP($I90,'AnmeldeVSS-Attribute'!$A$2:$H$16,2,FALSE)</f>
        <v>#N/A</v>
      </c>
      <c r="X90" s="42" t="e">
        <f>VLOOKUP($I90,'AnmeldeVSS-Attribute'!$A$2:$H$16,3,FALSE)</f>
        <v>#N/A</v>
      </c>
      <c r="Y90" s="42" t="e">
        <f>VLOOKUP($I90,'AnmeldeVSS-Attribute'!$A$2:$H$16,4,FALSE)</f>
        <v>#N/A</v>
      </c>
      <c r="Z90" s="42" t="e">
        <f>VLOOKUP($I90,'AnmeldeVSS-Attribute'!$A$2:$H$16,5,FALSE)</f>
        <v>#N/A</v>
      </c>
      <c r="AA90" s="42" t="e">
        <f>VLOOKUP($I90,'AnmeldeVSS-Attribute'!$A$2:$H$16,6,FALSE)</f>
        <v>#N/A</v>
      </c>
      <c r="AB90" s="42" t="e">
        <f>VLOOKUP($I90,'AnmeldeVSS-Attribute'!$A$2:$H$16,7,FALSE)</f>
        <v>#N/A</v>
      </c>
      <c r="AC90" s="42" t="e">
        <f>IF(I90="Geldbetrag",J90,(IF(T90="",VLOOKUP($I90,'AnmeldeVSS-Attribute'!$A$2:$H$16,8,FALSE),T90)))</f>
        <v>#N/A</v>
      </c>
      <c r="AD90" s="42">
        <f>IF(S90="",0,VLOOKUP(S90,'AnmeldeVSS-Attribute'!$A$20:$B$26,2,FALSE))</f>
        <v>0</v>
      </c>
      <c r="AE90" s="42" t="e">
        <f t="shared" si="7"/>
        <v>#N/A</v>
      </c>
      <c r="AF90" s="42" t="str">
        <f t="shared" si="9"/>
        <v/>
      </c>
      <c r="AG90" s="42" t="str">
        <f t="shared" si="8"/>
        <v/>
      </c>
      <c r="AH90" s="47" t="str">
        <f t="shared" si="10"/>
        <v/>
      </c>
      <c r="AI90" s="47" t="str">
        <f t="shared" si="11"/>
        <v/>
      </c>
      <c r="AJ90" s="42" t="str">
        <f>IF(O90="",(IF(P90="Ansicht","INSERT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B90 &amp;" ,NULL ,'',349,"&amp; VLOOKUP(Q90,'AnmeldeVSS-Attribute'!$A$43:$B$50,2,FALSE)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B90 &amp;" ,"&amp; O90 &amp;" ,"&amp; IF(Q90="ja","'1'",IF(Q90="nein","'0'","'"&amp;Q90&amp;"'")) &amp;","&amp;IF(P90="enthält",349,IF(P90="nicht leer",352,IF(P90="enthält nicht",350,IF(P90="leer",351,0)))) &amp;" ,NULL ,GetDate() ,'scrc' ,GetDate() ,'scrc')")</f>
        <v/>
      </c>
      <c r="AK9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1" spans="1:37" x14ac:dyDescent="0.25">
      <c r="A91" s="36"/>
      <c r="B91" s="36"/>
      <c r="C91" s="64"/>
      <c r="D91" s="64"/>
      <c r="E91" s="63"/>
      <c r="F91" s="64"/>
      <c r="G91" s="64"/>
      <c r="H91" s="64"/>
      <c r="I91" s="64"/>
      <c r="J91" s="64"/>
      <c r="K91" s="64"/>
      <c r="L91" s="64"/>
      <c r="M91" s="63"/>
      <c r="N91" s="63"/>
      <c r="O91" s="63"/>
      <c r="P91" s="63"/>
      <c r="Q91" s="64"/>
      <c r="R91" s="63"/>
      <c r="S91" s="63"/>
      <c r="T91" s="33"/>
      <c r="U91" s="33"/>
      <c r="W91" s="42" t="e">
        <f>VLOOKUP($I91,'AnmeldeVSS-Attribute'!$A$2:$H$16,2,FALSE)</f>
        <v>#N/A</v>
      </c>
      <c r="X91" s="42" t="e">
        <f>VLOOKUP($I91,'AnmeldeVSS-Attribute'!$A$2:$H$16,3,FALSE)</f>
        <v>#N/A</v>
      </c>
      <c r="Y91" s="42" t="e">
        <f>VLOOKUP($I91,'AnmeldeVSS-Attribute'!$A$2:$H$16,4,FALSE)</f>
        <v>#N/A</v>
      </c>
      <c r="Z91" s="42" t="e">
        <f>VLOOKUP($I91,'AnmeldeVSS-Attribute'!$A$2:$H$16,5,FALSE)</f>
        <v>#N/A</v>
      </c>
      <c r="AA91" s="42" t="e">
        <f>VLOOKUP($I91,'AnmeldeVSS-Attribute'!$A$2:$H$16,6,FALSE)</f>
        <v>#N/A</v>
      </c>
      <c r="AB91" s="42" t="e">
        <f>VLOOKUP($I91,'AnmeldeVSS-Attribute'!$A$2:$H$16,7,FALSE)</f>
        <v>#N/A</v>
      </c>
      <c r="AC91" s="42" t="e">
        <f>IF(I91="Geldbetrag",J91,(IF(T91="",VLOOKUP($I91,'AnmeldeVSS-Attribute'!$A$2:$H$16,8,FALSE),T91)))</f>
        <v>#N/A</v>
      </c>
      <c r="AD91" s="42">
        <f>IF(S91="",0,VLOOKUP(S91,'AnmeldeVSS-Attribute'!$A$20:$B$26,2,FALSE))</f>
        <v>0</v>
      </c>
      <c r="AE91" s="42" t="e">
        <f t="shared" si="7"/>
        <v>#N/A</v>
      </c>
      <c r="AF91" s="42" t="str">
        <f>IF(B91&lt;100000,"",AE91)</f>
        <v/>
      </c>
      <c r="AG91" s="42" t="str">
        <f t="shared" si="8"/>
        <v/>
      </c>
      <c r="AH91" s="47" t="str">
        <f>IF(AF91="","",IF(J91="","",IF(I91="LookupField",AK91,"")))</f>
        <v/>
      </c>
      <c r="AI91" s="47" t="str">
        <f>IF(D91&lt;&gt;"","update tblAnmeldeVSSLanguage set AnmeldeVSSBezeichnung = '" &amp; D91 &amp;"', AnmeldeVSSBezeichnungToDo = 0 " &amp;IF(H91&lt;&gt;"",", AnmeldeVSSTooltip = '"&amp; H91 &amp;"', AnmeldeVSSTooltipToDo = 0 ","") &amp; "where IDAnlass = "&amp; IDAnlass &amp;" and IDAnmeldeVSS = "&amp; B91,"")</f>
        <v/>
      </c>
      <c r="AJ91" s="42" t="str">
        <f>IF(O91="",(IF(P91="Ansicht","INSERT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B91 &amp;" ,NULL ,'',349,"&amp; VLOOKUP(Q91,'AnmeldeVSS-Attribute'!$A$43:$B$50,2,FALSE)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B91 &amp;" ,"&amp; O91 &amp;" ,"&amp; IF(Q91="ja","'1'",IF(Q91="nein","'0'","'"&amp;Q91&amp;"'")) &amp;","&amp;IF(P91="enthält",349,IF(P91="nicht leer",352,IF(P91="enthält nicht",350,IF(P91="leer",351,0)))) &amp;" ,NULL ,GetDate() ,'scrc' ,GetDate() ,'scrc')")</f>
        <v/>
      </c>
      <c r="AK91" s="48" t="str">
        <f>CONCATENATE("update tblAnmeldeVSS set AnmeldeVSSOTUseLegacyRowSource = 1, AnmeldeVssOTUseLegacyValueCalculation = 1, AnmeldeVSSRowSource='","Select ''",SUBSTITUTE(J91,",","'' where @kontextidlanguage = 1 union select ''"),"'' where @kontextidlanguage = 1 ","union select ''",SUBSTITUTE(K91,",","'' where @kontextidlanguage = 133 union select ''"),"'' where @kontextidlanguage = 133'"," where IDAnmeldeVSS ="&amp;B91&amp;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2" spans="1:37" x14ac:dyDescent="0.25">
      <c r="A92" s="36"/>
      <c r="B92" s="36"/>
      <c r="C92" s="64"/>
      <c r="D92" s="64"/>
      <c r="E92" s="63"/>
      <c r="F92" s="64"/>
      <c r="G92" s="64"/>
      <c r="H92" s="64"/>
      <c r="I92" s="64"/>
      <c r="J92" s="64"/>
      <c r="K92" s="64"/>
      <c r="L92" s="64"/>
      <c r="M92" s="63"/>
      <c r="N92" s="63"/>
      <c r="O92" s="63"/>
      <c r="P92" s="63"/>
      <c r="Q92" s="64"/>
      <c r="R92" s="63"/>
      <c r="S92" s="63"/>
      <c r="T92" s="65"/>
      <c r="U92" s="65"/>
      <c r="W92" s="42" t="e">
        <f>VLOOKUP($I92,'AnmeldeVSS-Attribute'!$A$2:$H$16,2,FALSE)</f>
        <v>#N/A</v>
      </c>
      <c r="X92" s="42" t="e">
        <f>VLOOKUP($I92,'AnmeldeVSS-Attribute'!$A$2:$H$16,3,FALSE)</f>
        <v>#N/A</v>
      </c>
      <c r="Y92" s="42" t="e">
        <f>VLOOKUP($I92,'AnmeldeVSS-Attribute'!$A$2:$H$16,4,FALSE)</f>
        <v>#N/A</v>
      </c>
      <c r="Z92" s="42" t="e">
        <f>VLOOKUP($I92,'AnmeldeVSS-Attribute'!$A$2:$H$16,5,FALSE)</f>
        <v>#N/A</v>
      </c>
      <c r="AA92" s="42" t="e">
        <f>VLOOKUP($I92,'AnmeldeVSS-Attribute'!$A$2:$H$16,6,FALSE)</f>
        <v>#N/A</v>
      </c>
      <c r="AB92" s="42" t="e">
        <f>VLOOKUP($I92,'AnmeldeVSS-Attribute'!$A$2:$H$16,7,FALSE)</f>
        <v>#N/A</v>
      </c>
      <c r="AC92" s="42" t="e">
        <f>IF(I92="Geldbetrag",J92,(IF(T92="",VLOOKUP($I92,'AnmeldeVSS-Attribute'!$A$2:$H$16,8,FALSE),T92)))</f>
        <v>#N/A</v>
      </c>
      <c r="AD92" s="42">
        <f>IF(S92="",0,VLOOKUP(S92,'AnmeldeVSS-Attribute'!$A$20:$B$26,2,FALSE))</f>
        <v>0</v>
      </c>
      <c r="AE92" s="42" t="e">
        <f t="shared" si="7"/>
        <v>#N/A</v>
      </c>
      <c r="AF92" s="42" t="str">
        <f t="shared" si="9"/>
        <v/>
      </c>
      <c r="AG92" s="42" t="str">
        <f t="shared" si="8"/>
        <v/>
      </c>
      <c r="AH92" s="47" t="str">
        <f t="shared" si="10"/>
        <v/>
      </c>
      <c r="AI92" s="47" t="str">
        <f t="shared" si="11"/>
        <v/>
      </c>
      <c r="AJ92" s="42" t="str">
        <f>IF(O92="",(IF(P92="Ansicht","INSERT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B92 &amp;" ,NULL ,'',349,"&amp; VLOOKUP(Q92,'AnmeldeVSS-Attribute'!$A$43:$B$50,2,FALSE)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B92 &amp;" ,"&amp; O92 &amp;" ,"&amp; IF(Q92="ja","'1'",IF(Q92="nein","'0'","'"&amp;Q92&amp;"'")) &amp;","&amp;IF(P92="enthält",349,IF(P92="nicht leer",352,IF(P92="enthält nicht",350,IF(P92="leer",351,0)))) &amp;" ,NULL ,GetDate() ,'scrc' ,GetDate() ,'scrc')")</f>
        <v/>
      </c>
      <c r="AK9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3" spans="1:37" x14ac:dyDescent="0.25">
      <c r="A93" s="66"/>
      <c r="B93" s="66"/>
      <c r="C93" s="64"/>
      <c r="D93" s="64"/>
      <c r="E93" s="63"/>
      <c r="F93" s="64"/>
      <c r="G93" s="64"/>
      <c r="H93" s="64"/>
      <c r="I93" s="64"/>
      <c r="J93" s="64"/>
      <c r="K93" s="64"/>
      <c r="L93" s="64"/>
      <c r="M93" s="63"/>
      <c r="N93" s="63"/>
      <c r="O93" s="63"/>
      <c r="P93" s="63"/>
      <c r="Q93" s="64"/>
      <c r="R93" s="63"/>
      <c r="S93" s="63"/>
      <c r="T93" s="33"/>
      <c r="U93" s="33"/>
      <c r="W93" s="42" t="e">
        <f>VLOOKUP($I93,'AnmeldeVSS-Attribute'!$A$2:$H$16,2,FALSE)</f>
        <v>#N/A</v>
      </c>
      <c r="X93" s="42" t="e">
        <f>VLOOKUP($I93,'AnmeldeVSS-Attribute'!$A$2:$H$16,3,FALSE)</f>
        <v>#N/A</v>
      </c>
      <c r="Y93" s="42" t="e">
        <f>VLOOKUP($I93,'AnmeldeVSS-Attribute'!$A$2:$H$16,4,FALSE)</f>
        <v>#N/A</v>
      </c>
      <c r="Z93" s="42" t="e">
        <f>VLOOKUP($I93,'AnmeldeVSS-Attribute'!$A$2:$H$16,5,FALSE)</f>
        <v>#N/A</v>
      </c>
      <c r="AA93" s="42" t="e">
        <f>VLOOKUP($I93,'AnmeldeVSS-Attribute'!$A$2:$H$16,6,FALSE)</f>
        <v>#N/A</v>
      </c>
      <c r="AB93" s="42" t="e">
        <f>VLOOKUP($I93,'AnmeldeVSS-Attribute'!$A$2:$H$16,7,FALSE)</f>
        <v>#N/A</v>
      </c>
      <c r="AC93" s="42" t="e">
        <f>IF(I93="Geldbetrag",J93,(IF(T93="",VLOOKUP($I93,'AnmeldeVSS-Attribute'!$A$2:$H$16,8,FALSE),T93)))</f>
        <v>#N/A</v>
      </c>
      <c r="AD93" s="42">
        <f>IF(S93="",0,VLOOKUP(S93,'AnmeldeVSS-Attribute'!$A$20:$B$26,2,FALSE))</f>
        <v>0</v>
      </c>
      <c r="AE93" s="42" t="e">
        <f t="shared" si="7"/>
        <v>#N/A</v>
      </c>
      <c r="AF93" s="42" t="str">
        <f t="shared" si="9"/>
        <v/>
      </c>
      <c r="AG93" s="42" t="str">
        <f t="shared" si="8"/>
        <v/>
      </c>
      <c r="AH93" s="47" t="str">
        <f t="shared" si="10"/>
        <v/>
      </c>
      <c r="AI93" s="47" t="str">
        <f t="shared" si="11"/>
        <v/>
      </c>
      <c r="AJ93" s="42" t="str">
        <f>IF(O93="",(IF(P93="Ansicht","INSERT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B93 &amp;" ,NULL ,'',349,"&amp; VLOOKUP(Q93,'AnmeldeVSS-Attribute'!$A$43:$B$50,2,FALSE)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B93 &amp;" ,"&amp; O93 &amp;" ,"&amp; IF(Q93="ja","'1'",IF(Q93="nein","'0'","'"&amp;Q93&amp;"'")) &amp;","&amp;IF(P93="enthält",349,IF(P93="nicht leer",352,IF(P93="enthält nicht",350,IF(P93="leer",351,0)))) &amp;" ,NULL ,GetDate() ,'scrc' ,GetDate() ,'scrc')")</f>
        <v/>
      </c>
      <c r="AK9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4" spans="1:37" x14ac:dyDescent="0.25">
      <c r="A94" s="36"/>
      <c r="B94" s="36"/>
      <c r="C94" s="64"/>
      <c r="D94" s="64"/>
      <c r="E94" s="63"/>
      <c r="F94" s="64"/>
      <c r="G94" s="64"/>
      <c r="H94" s="64"/>
      <c r="I94" s="64"/>
      <c r="J94" s="64"/>
      <c r="K94" s="64"/>
      <c r="L94" s="64"/>
      <c r="M94" s="63"/>
      <c r="N94" s="63"/>
      <c r="O94" s="63"/>
      <c r="P94" s="63"/>
      <c r="Q94" s="64"/>
      <c r="R94" s="63"/>
      <c r="S94" s="63"/>
      <c r="T94" s="33"/>
      <c r="U94" s="33"/>
      <c r="W94" s="42" t="e">
        <f>VLOOKUP($I94,'AnmeldeVSS-Attribute'!$A$2:$H$16,2,FALSE)</f>
        <v>#N/A</v>
      </c>
      <c r="X94" s="42" t="e">
        <f>VLOOKUP($I94,'AnmeldeVSS-Attribute'!$A$2:$H$16,3,FALSE)</f>
        <v>#N/A</v>
      </c>
      <c r="Y94" s="42" t="e">
        <f>VLOOKUP($I94,'AnmeldeVSS-Attribute'!$A$2:$H$16,4,FALSE)</f>
        <v>#N/A</v>
      </c>
      <c r="Z94" s="42" t="e">
        <f>VLOOKUP($I94,'AnmeldeVSS-Attribute'!$A$2:$H$16,5,FALSE)</f>
        <v>#N/A</v>
      </c>
      <c r="AA94" s="42" t="e">
        <f>VLOOKUP($I94,'AnmeldeVSS-Attribute'!$A$2:$H$16,6,FALSE)</f>
        <v>#N/A</v>
      </c>
      <c r="AB94" s="42" t="e">
        <f>VLOOKUP($I94,'AnmeldeVSS-Attribute'!$A$2:$H$16,7,FALSE)</f>
        <v>#N/A</v>
      </c>
      <c r="AC94" s="42" t="e">
        <f>IF(I94="Geldbetrag",J94,(IF(T94="",VLOOKUP($I94,'AnmeldeVSS-Attribute'!$A$2:$H$16,8,FALSE),T94)))</f>
        <v>#N/A</v>
      </c>
      <c r="AD94" s="42">
        <f>IF(S94="",0,VLOOKUP(S94,'AnmeldeVSS-Attribute'!$A$20:$B$26,2,FALSE))</f>
        <v>0</v>
      </c>
      <c r="AE94" s="42" t="e">
        <f t="shared" si="7"/>
        <v>#N/A</v>
      </c>
      <c r="AF94" s="42" t="str">
        <f t="shared" si="9"/>
        <v/>
      </c>
      <c r="AG94" s="42" t="str">
        <f t="shared" si="8"/>
        <v/>
      </c>
      <c r="AH94" s="47" t="str">
        <f t="shared" si="10"/>
        <v/>
      </c>
      <c r="AI94" s="47" t="str">
        <f t="shared" si="11"/>
        <v/>
      </c>
      <c r="AJ94" s="42" t="str">
        <f>IF(O94="",(IF(P94="Ansicht","INSERT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B94 &amp;" ,NULL ,'',349,"&amp; VLOOKUP(Q94,'AnmeldeVSS-Attribute'!$A$43:$B$50,2,FALSE)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B94 &amp;" ,"&amp; O94 &amp;" ,"&amp; IF(Q94="ja","'1'",IF(Q94="nein","'0'","'"&amp;Q94&amp;"'")) &amp;","&amp;IF(P94="enthält",349,IF(P94="nicht leer",352,IF(P94="enthält nicht",350,IF(P94="leer",351,0)))) &amp;" ,NULL ,GetDate() ,'scrc' ,GetDate() ,'scrc')")</f>
        <v/>
      </c>
      <c r="AK9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5" spans="1:37" x14ac:dyDescent="0.25">
      <c r="A95" s="66"/>
      <c r="B95" s="66"/>
      <c r="C95" s="64"/>
      <c r="D95" s="64"/>
      <c r="E95" s="63"/>
      <c r="F95" s="64"/>
      <c r="G95" s="64"/>
      <c r="H95" s="64"/>
      <c r="I95" s="64"/>
      <c r="J95" s="64"/>
      <c r="K95" s="64"/>
      <c r="L95" s="64"/>
      <c r="M95" s="63"/>
      <c r="N95" s="63"/>
      <c r="O95" s="63"/>
      <c r="P95" s="63"/>
      <c r="Q95" s="64"/>
      <c r="R95" s="63"/>
      <c r="S95" s="63"/>
      <c r="T95" s="33"/>
      <c r="U95" s="33"/>
      <c r="W95" s="42" t="e">
        <f>VLOOKUP($I95,'AnmeldeVSS-Attribute'!$A$2:$H$16,2,FALSE)</f>
        <v>#N/A</v>
      </c>
      <c r="X95" s="42" t="e">
        <f>VLOOKUP($I95,'AnmeldeVSS-Attribute'!$A$2:$H$16,3,FALSE)</f>
        <v>#N/A</v>
      </c>
      <c r="Y95" s="42" t="e">
        <f>VLOOKUP($I95,'AnmeldeVSS-Attribute'!$A$2:$H$16,4,FALSE)</f>
        <v>#N/A</v>
      </c>
      <c r="Z95" s="42" t="e">
        <f>VLOOKUP($I95,'AnmeldeVSS-Attribute'!$A$2:$H$16,5,FALSE)</f>
        <v>#N/A</v>
      </c>
      <c r="AA95" s="42" t="e">
        <f>VLOOKUP($I95,'AnmeldeVSS-Attribute'!$A$2:$H$16,6,FALSE)</f>
        <v>#N/A</v>
      </c>
      <c r="AB95" s="42" t="e">
        <f>VLOOKUP($I95,'AnmeldeVSS-Attribute'!$A$2:$H$16,7,FALSE)</f>
        <v>#N/A</v>
      </c>
      <c r="AC95" s="42" t="e">
        <f>IF(I95="Geldbetrag",J95,(IF(T95="",VLOOKUP($I95,'AnmeldeVSS-Attribute'!$A$2:$H$16,8,FALSE),T95)))</f>
        <v>#N/A</v>
      </c>
      <c r="AD95" s="42">
        <f>IF(S95="",0,VLOOKUP(S95,'AnmeldeVSS-Attribute'!$A$20:$B$26,2,FALSE))</f>
        <v>0</v>
      </c>
      <c r="AE95" s="42" t="e">
        <f t="shared" si="7"/>
        <v>#N/A</v>
      </c>
      <c r="AF95" s="42" t="str">
        <f t="shared" si="9"/>
        <v/>
      </c>
      <c r="AG95" s="42" t="str">
        <f t="shared" si="8"/>
        <v/>
      </c>
      <c r="AH95" s="47" t="str">
        <f t="shared" si="10"/>
        <v/>
      </c>
      <c r="AI95" s="47" t="str">
        <f t="shared" si="11"/>
        <v/>
      </c>
      <c r="AJ95" s="42" t="str">
        <f>IF(O95="",(IF(P95="Ansicht","INSERT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B95 &amp;" ,NULL ,'',349,"&amp; VLOOKUP(Q95,'AnmeldeVSS-Attribute'!$A$43:$B$50,2,FALSE)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B95 &amp;" ,"&amp; O95 &amp;" ,"&amp; IF(Q95="ja","'1'",IF(Q95="nein","'0'","'"&amp;Q95&amp;"'")) &amp;","&amp;IF(P95="enthält",349,IF(P95="nicht leer",352,IF(P95="enthält nicht",350,IF(P95="leer",351,0)))) &amp;" ,NULL ,GetDate() ,'scrc' ,GetDate() ,'scrc')")</f>
        <v/>
      </c>
      <c r="AK9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6" spans="1:37" x14ac:dyDescent="0.25">
      <c r="A96" s="66"/>
      <c r="B96" s="66"/>
      <c r="C96" s="64"/>
      <c r="D96" s="64"/>
      <c r="E96" s="63"/>
      <c r="F96" s="64"/>
      <c r="G96" s="64"/>
      <c r="H96" s="64"/>
      <c r="I96" s="64"/>
      <c r="J96" s="64"/>
      <c r="K96" s="64"/>
      <c r="L96" s="64"/>
      <c r="M96" s="63"/>
      <c r="N96" s="63"/>
      <c r="O96" s="63"/>
      <c r="P96" s="63"/>
      <c r="Q96" s="64"/>
      <c r="R96" s="63"/>
      <c r="S96" s="63"/>
      <c r="T96" s="33"/>
      <c r="U96" s="33"/>
      <c r="W96" s="42" t="e">
        <f>VLOOKUP($I96,'AnmeldeVSS-Attribute'!$A$2:$H$16,2,FALSE)</f>
        <v>#N/A</v>
      </c>
      <c r="X96" s="42" t="e">
        <f>VLOOKUP($I96,'AnmeldeVSS-Attribute'!$A$2:$H$16,3,FALSE)</f>
        <v>#N/A</v>
      </c>
      <c r="Y96" s="42" t="e">
        <f>VLOOKUP($I96,'AnmeldeVSS-Attribute'!$A$2:$H$16,4,FALSE)</f>
        <v>#N/A</v>
      </c>
      <c r="Z96" s="42" t="e">
        <f>VLOOKUP($I96,'AnmeldeVSS-Attribute'!$A$2:$H$16,5,FALSE)</f>
        <v>#N/A</v>
      </c>
      <c r="AA96" s="42" t="e">
        <f>VLOOKUP($I96,'AnmeldeVSS-Attribute'!$A$2:$H$16,6,FALSE)</f>
        <v>#N/A</v>
      </c>
      <c r="AB96" s="42" t="e">
        <f>VLOOKUP($I96,'AnmeldeVSS-Attribute'!$A$2:$H$16,7,FALSE)</f>
        <v>#N/A</v>
      </c>
      <c r="AC96" s="42" t="e">
        <f>IF(I96="Geldbetrag",J96,(IF(T96="",VLOOKUP($I96,'AnmeldeVSS-Attribute'!$A$2:$H$16,8,FALSE),T96)))</f>
        <v>#N/A</v>
      </c>
      <c r="AD96" s="42">
        <f>IF(S96="",0,VLOOKUP(S96,'AnmeldeVSS-Attribute'!$A$20:$B$26,2,FALSE))</f>
        <v>0</v>
      </c>
      <c r="AE96" s="42" t="e">
        <f t="shared" si="7"/>
        <v>#N/A</v>
      </c>
      <c r="AF96" s="42" t="str">
        <f t="shared" si="9"/>
        <v/>
      </c>
      <c r="AG96" s="42" t="str">
        <f t="shared" si="8"/>
        <v/>
      </c>
      <c r="AH96" s="47" t="str">
        <f t="shared" si="10"/>
        <v/>
      </c>
      <c r="AI96" s="47" t="str">
        <f t="shared" si="11"/>
        <v/>
      </c>
      <c r="AJ96" s="42" t="str">
        <f>IF(O96="",(IF(P96="Ansicht","INSERT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B96 &amp;" ,NULL ,'',349,"&amp; VLOOKUP(Q96,'AnmeldeVSS-Attribute'!$A$43:$B$50,2,FALSE)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B96 &amp;" ,"&amp; O96 &amp;" ,"&amp; IF(Q96="ja","'1'",IF(Q96="nein","'0'","'"&amp;Q96&amp;"'")) &amp;","&amp;IF(P96="enthält",349,IF(P96="nicht leer",352,IF(P96="enthält nicht",350,IF(P96="leer",351,0)))) &amp;" ,NULL ,GetDate() ,'scrc' ,GetDate() ,'scrc')")</f>
        <v/>
      </c>
      <c r="AK9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7" spans="1:37" x14ac:dyDescent="0.25">
      <c r="A97" s="36"/>
      <c r="B97" s="36"/>
      <c r="C97" s="64"/>
      <c r="D97" s="64"/>
      <c r="E97" s="63"/>
      <c r="F97" s="64"/>
      <c r="G97" s="64"/>
      <c r="H97" s="64"/>
      <c r="I97" s="64"/>
      <c r="J97" s="64"/>
      <c r="K97" s="64"/>
      <c r="L97" s="64"/>
      <c r="M97" s="63"/>
      <c r="N97" s="63"/>
      <c r="O97" s="63"/>
      <c r="P97" s="63"/>
      <c r="Q97" s="64"/>
      <c r="R97" s="63"/>
      <c r="S97" s="63"/>
      <c r="T97" s="33"/>
      <c r="U97" s="33"/>
      <c r="W97" s="42" t="e">
        <f>VLOOKUP($I97,'AnmeldeVSS-Attribute'!$A$2:$H$16,2,FALSE)</f>
        <v>#N/A</v>
      </c>
      <c r="X97" s="42" t="e">
        <f>VLOOKUP($I97,'AnmeldeVSS-Attribute'!$A$2:$H$16,3,FALSE)</f>
        <v>#N/A</v>
      </c>
      <c r="Y97" s="42" t="e">
        <f>VLOOKUP($I97,'AnmeldeVSS-Attribute'!$A$2:$H$16,4,FALSE)</f>
        <v>#N/A</v>
      </c>
      <c r="Z97" s="42" t="e">
        <f>VLOOKUP($I97,'AnmeldeVSS-Attribute'!$A$2:$H$16,5,FALSE)</f>
        <v>#N/A</v>
      </c>
      <c r="AA97" s="42" t="e">
        <f>VLOOKUP($I97,'AnmeldeVSS-Attribute'!$A$2:$H$16,6,FALSE)</f>
        <v>#N/A</v>
      </c>
      <c r="AB97" s="42" t="e">
        <f>VLOOKUP($I97,'AnmeldeVSS-Attribute'!$A$2:$H$16,7,FALSE)</f>
        <v>#N/A</v>
      </c>
      <c r="AC97" s="42" t="e">
        <f>IF(I97="Geldbetrag",J97,(IF(T97="",VLOOKUP($I97,'AnmeldeVSS-Attribute'!$A$2:$H$16,8,FALSE),T97)))</f>
        <v>#N/A</v>
      </c>
      <c r="AD97" s="42">
        <f>IF(S97="",0,VLOOKUP(S97,'AnmeldeVSS-Attribute'!$A$20:$B$26,2,FALSE))</f>
        <v>0</v>
      </c>
      <c r="AE97" s="42" t="e">
        <f t="shared" si="7"/>
        <v>#N/A</v>
      </c>
      <c r="AF97" s="42" t="str">
        <f t="shared" si="9"/>
        <v/>
      </c>
      <c r="AG97" s="42" t="str">
        <f t="shared" si="8"/>
        <v/>
      </c>
      <c r="AH97" s="47" t="str">
        <f t="shared" si="10"/>
        <v/>
      </c>
      <c r="AI97" s="47" t="str">
        <f t="shared" si="11"/>
        <v/>
      </c>
      <c r="AJ97" s="42" t="str">
        <f>IF(O97="",(IF(P97="Ansicht","INSERT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B97 &amp;" ,NULL ,'',349,"&amp; VLOOKUP(Q97,'AnmeldeVSS-Attribute'!$A$43:$B$50,2,FALSE)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B97 &amp;" ,"&amp; O97 &amp;" ,"&amp; IF(Q97="ja","'1'",IF(Q97="nein","'0'","'"&amp;Q97&amp;"'")) &amp;","&amp;IF(P97="enthält",349,IF(P97="nicht leer",352,IF(P97="enthält nicht",350,IF(P97="leer",351,0)))) &amp;" ,NULL ,GetDate() ,'scrc' ,GetDate() ,'scrc')")</f>
        <v/>
      </c>
      <c r="AK9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8" spans="1:37" x14ac:dyDescent="0.25">
      <c r="A98" s="66"/>
      <c r="B98" s="66"/>
      <c r="C98" s="64"/>
      <c r="D98" s="64"/>
      <c r="E98" s="63"/>
      <c r="F98" s="64"/>
      <c r="G98" s="64"/>
      <c r="H98" s="64"/>
      <c r="I98" s="64"/>
      <c r="J98" s="64"/>
      <c r="K98" s="64"/>
      <c r="L98" s="64"/>
      <c r="M98" s="66"/>
      <c r="N98" s="63"/>
      <c r="O98" s="63"/>
      <c r="P98" s="63"/>
      <c r="Q98" s="64"/>
      <c r="R98" s="63"/>
      <c r="S98" s="63"/>
      <c r="T98" s="33"/>
      <c r="U98" s="33"/>
      <c r="W98" s="42" t="e">
        <f>VLOOKUP($I98,'AnmeldeVSS-Attribute'!$A$2:$H$16,2,FALSE)</f>
        <v>#N/A</v>
      </c>
      <c r="X98" s="42" t="e">
        <f>VLOOKUP($I98,'AnmeldeVSS-Attribute'!$A$2:$H$16,3,FALSE)</f>
        <v>#N/A</v>
      </c>
      <c r="Y98" s="42" t="e">
        <f>VLOOKUP($I98,'AnmeldeVSS-Attribute'!$A$2:$H$16,4,FALSE)</f>
        <v>#N/A</v>
      </c>
      <c r="Z98" s="42" t="e">
        <f>VLOOKUP($I98,'AnmeldeVSS-Attribute'!$A$2:$H$16,5,FALSE)</f>
        <v>#N/A</v>
      </c>
      <c r="AA98" s="42" t="e">
        <f>VLOOKUP($I98,'AnmeldeVSS-Attribute'!$A$2:$H$16,6,FALSE)</f>
        <v>#N/A</v>
      </c>
      <c r="AB98" s="42" t="e">
        <f>VLOOKUP($I98,'AnmeldeVSS-Attribute'!$A$2:$H$16,7,FALSE)</f>
        <v>#N/A</v>
      </c>
      <c r="AC98" s="42" t="e">
        <f>IF(I98="Geldbetrag",J98,(IF(T98="",VLOOKUP($I98,'AnmeldeVSS-Attribute'!$A$2:$H$16,8,FALSE),T98)))</f>
        <v>#N/A</v>
      </c>
      <c r="AD98" s="42">
        <f>IF(S98="",0,VLOOKUP(S98,'AnmeldeVSS-Attribute'!$A$20:$B$26,2,FALSE))</f>
        <v>0</v>
      </c>
      <c r="AE98" s="42" t="e">
        <f t="shared" si="7"/>
        <v>#N/A</v>
      </c>
      <c r="AF98" s="42" t="str">
        <f t="shared" si="9"/>
        <v/>
      </c>
      <c r="AG98" s="42" t="str">
        <f t="shared" si="8"/>
        <v/>
      </c>
      <c r="AH98" s="47" t="str">
        <f t="shared" si="10"/>
        <v/>
      </c>
      <c r="AI98" s="47" t="str">
        <f t="shared" si="11"/>
        <v/>
      </c>
      <c r="AJ98" s="42" t="str">
        <f>IF(O98="",(IF(P98="Ansicht","INSERT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B98 &amp;" ,NULL ,'',349,"&amp; VLOOKUP(Q98,'AnmeldeVSS-Attribute'!$A$43:$B$50,2,FALSE)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B98 &amp;" ,"&amp; O98 &amp;" ,"&amp; IF(Q98="ja","'1'",IF(Q98="nein","'0'","'"&amp;Q98&amp;"'")) &amp;","&amp;IF(P98="enthält",349,IF(P98="nicht leer",352,IF(P98="enthält nicht",350,IF(P98="leer",351,0)))) &amp;" ,NULL ,GetDate() ,'scrc' ,GetDate() ,'scrc')")</f>
        <v/>
      </c>
      <c r="AK9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99" spans="1:37" x14ac:dyDescent="0.25">
      <c r="A99" s="66"/>
      <c r="B99" s="66"/>
      <c r="C99" s="64"/>
      <c r="D99" s="52"/>
      <c r="E99" s="63"/>
      <c r="F99" s="64"/>
      <c r="G99" s="64"/>
      <c r="H99" s="64"/>
      <c r="I99" s="64"/>
      <c r="J99" s="64"/>
      <c r="K99" s="64"/>
      <c r="L99" s="64"/>
      <c r="M99" s="63"/>
      <c r="N99" s="63"/>
      <c r="O99" s="63"/>
      <c r="P99" s="63"/>
      <c r="Q99" s="64"/>
      <c r="R99" s="63"/>
      <c r="S99" s="63"/>
      <c r="T99" s="69"/>
      <c r="U99" s="69"/>
      <c r="W99" s="42" t="e">
        <f>VLOOKUP($I99,'AnmeldeVSS-Attribute'!$A$2:$H$16,2,FALSE)</f>
        <v>#N/A</v>
      </c>
      <c r="X99" s="42" t="e">
        <f>VLOOKUP($I99,'AnmeldeVSS-Attribute'!$A$2:$H$16,3,FALSE)</f>
        <v>#N/A</v>
      </c>
      <c r="Y99" s="42" t="e">
        <f>VLOOKUP($I99,'AnmeldeVSS-Attribute'!$A$2:$H$16,4,FALSE)</f>
        <v>#N/A</v>
      </c>
      <c r="Z99" s="42" t="e">
        <f>VLOOKUP($I99,'AnmeldeVSS-Attribute'!$A$2:$H$16,5,FALSE)</f>
        <v>#N/A</v>
      </c>
      <c r="AA99" s="42" t="e">
        <f>VLOOKUP($I99,'AnmeldeVSS-Attribute'!$A$2:$H$16,6,FALSE)</f>
        <v>#N/A</v>
      </c>
      <c r="AB99" s="42" t="e">
        <f>VLOOKUP($I99,'AnmeldeVSS-Attribute'!$A$2:$H$16,7,FALSE)</f>
        <v>#N/A</v>
      </c>
      <c r="AC99" s="42" t="e">
        <f>IF(I99="Geldbetrag",J99,(IF(T99="",VLOOKUP($I99,'AnmeldeVSS-Attribute'!$A$2:$H$16,8,FALSE),T99)))</f>
        <v>#N/A</v>
      </c>
      <c r="AD99" s="42">
        <f>IF(S99="",0,VLOOKUP(S99,'AnmeldeVSS-Attribute'!$A$20:$B$26,2,FALSE))</f>
        <v>0</v>
      </c>
      <c r="AE99" s="42" t="e">
        <f t="shared" si="7"/>
        <v>#N/A</v>
      </c>
      <c r="AF99" s="42" t="str">
        <f t="shared" si="9"/>
        <v/>
      </c>
      <c r="AG99" s="42" t="str">
        <f t="shared" si="8"/>
        <v/>
      </c>
      <c r="AH99" s="47" t="str">
        <f t="shared" si="10"/>
        <v/>
      </c>
      <c r="AI99" s="47" t="str">
        <f t="shared" si="11"/>
        <v/>
      </c>
      <c r="AJ99" s="42" t="str">
        <f>IF(O99="",(IF(P99="Ansicht","INSERT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B99 &amp;" ,NULL ,'',349,"&amp; VLOOKUP(Q99,'AnmeldeVSS-Attribute'!$A$43:$B$50,2,FALSE)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B99 &amp;" ,"&amp; O99 &amp;" ,"&amp; IF(Q99="ja","'1'",IF(Q99="nein","'0'","'"&amp;Q99&amp;"'")) &amp;","&amp;IF(P99="enthält",349,IF(P99="nicht leer",352,IF(P99="enthält nicht",350,IF(P99="leer",351,0)))) &amp;" ,NULL ,GetDate() ,'scrc' ,GetDate() ,'scrc')")</f>
        <v/>
      </c>
      <c r="AK9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0" spans="1:37" x14ac:dyDescent="0.25">
      <c r="A100" s="66"/>
      <c r="B100" s="66"/>
      <c r="C100" s="64"/>
      <c r="D100" s="64"/>
      <c r="E100" s="63"/>
      <c r="F100" s="64"/>
      <c r="G100" s="64"/>
      <c r="H100" s="64"/>
      <c r="I100" s="64"/>
      <c r="J100" s="64"/>
      <c r="K100" s="64"/>
      <c r="L100" s="64"/>
      <c r="M100" s="63"/>
      <c r="N100" s="63"/>
      <c r="O100" s="63"/>
      <c r="P100" s="63"/>
      <c r="Q100" s="64"/>
      <c r="R100" s="63"/>
      <c r="S100" s="63"/>
      <c r="T100" s="65"/>
      <c r="U100" s="65"/>
      <c r="W100" s="42" t="e">
        <f>VLOOKUP($I100,'AnmeldeVSS-Attribute'!$A$2:$H$16,2,FALSE)</f>
        <v>#N/A</v>
      </c>
      <c r="X100" s="42" t="e">
        <f>VLOOKUP($I100,'AnmeldeVSS-Attribute'!$A$2:$H$16,3,FALSE)</f>
        <v>#N/A</v>
      </c>
      <c r="Y100" s="42" t="e">
        <f>VLOOKUP($I100,'AnmeldeVSS-Attribute'!$A$2:$H$16,4,FALSE)</f>
        <v>#N/A</v>
      </c>
      <c r="Z100" s="42" t="e">
        <f>VLOOKUP($I100,'AnmeldeVSS-Attribute'!$A$2:$H$16,5,FALSE)</f>
        <v>#N/A</v>
      </c>
      <c r="AA100" s="42" t="e">
        <f>VLOOKUP($I100,'AnmeldeVSS-Attribute'!$A$2:$H$16,6,FALSE)</f>
        <v>#N/A</v>
      </c>
      <c r="AB100" s="42" t="e">
        <f>VLOOKUP($I100,'AnmeldeVSS-Attribute'!$A$2:$H$16,7,FALSE)</f>
        <v>#N/A</v>
      </c>
      <c r="AC100" s="42" t="e">
        <f>IF(I100="Geldbetrag",J100,(IF(T100="",VLOOKUP($I100,'AnmeldeVSS-Attribute'!$A$2:$H$16,8,FALSE),T100)))</f>
        <v>#N/A</v>
      </c>
      <c r="AD100" s="42">
        <f>IF(S100="",0,VLOOKUP(S100,'AnmeldeVSS-Attribute'!$A$20:$B$26,2,FALSE))</f>
        <v>0</v>
      </c>
      <c r="AE100" s="42" t="e">
        <f t="shared" si="7"/>
        <v>#N/A</v>
      </c>
      <c r="AF100" s="42" t="str">
        <f t="shared" si="9"/>
        <v/>
      </c>
      <c r="AG100" s="42" t="str">
        <f t="shared" si="8"/>
        <v/>
      </c>
      <c r="AH100" s="47" t="str">
        <f t="shared" si="10"/>
        <v/>
      </c>
      <c r="AI100" s="47" t="str">
        <f t="shared" si="11"/>
        <v/>
      </c>
      <c r="AJ100" s="42" t="str">
        <f>IF(O100="",(IF(P100="Ansicht","INSERT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B100 &amp;" ,NULL ,'',349,"&amp; VLOOKUP(Q100,'AnmeldeVSS-Attribute'!$A$43:$B$50,2,FALSE)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B100 &amp;" ,"&amp; O100 &amp;" ,"&amp; IF(Q100="ja","'1'",IF(Q100="nein","'0'","'"&amp;Q100&amp;"'")) &amp;","&amp;IF(P100="enthält",349,IF(P100="nicht leer",352,IF(P100="enthält nicht",350,IF(P100="leer",351,0)))) &amp;" ,NULL ,GetDate() ,'scrc' ,GetDate() ,'scrc')")</f>
        <v/>
      </c>
      <c r="AK10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1" spans="1:37" x14ac:dyDescent="0.25">
      <c r="A101" s="36"/>
      <c r="B101" s="36"/>
      <c r="C101" s="64"/>
      <c r="D101" s="64"/>
      <c r="E101" s="63"/>
      <c r="F101" s="64"/>
      <c r="G101" s="64"/>
      <c r="H101" s="64"/>
      <c r="I101" s="64"/>
      <c r="J101" s="64"/>
      <c r="K101" s="64"/>
      <c r="L101" s="64"/>
      <c r="M101" s="63"/>
      <c r="N101" s="63"/>
      <c r="O101" s="63"/>
      <c r="P101" s="63"/>
      <c r="Q101" s="64"/>
      <c r="R101" s="63"/>
      <c r="S101" s="63"/>
      <c r="T101" s="65"/>
      <c r="U101" s="65"/>
      <c r="W101" s="42" t="e">
        <f>VLOOKUP($I101,'AnmeldeVSS-Attribute'!$A$2:$H$16,2,FALSE)</f>
        <v>#N/A</v>
      </c>
      <c r="X101" s="42" t="e">
        <f>VLOOKUP($I101,'AnmeldeVSS-Attribute'!$A$2:$H$16,3,FALSE)</f>
        <v>#N/A</v>
      </c>
      <c r="Y101" s="42" t="e">
        <f>VLOOKUP($I101,'AnmeldeVSS-Attribute'!$A$2:$H$16,4,FALSE)</f>
        <v>#N/A</v>
      </c>
      <c r="Z101" s="42" t="e">
        <f>VLOOKUP($I101,'AnmeldeVSS-Attribute'!$A$2:$H$16,5,FALSE)</f>
        <v>#N/A</v>
      </c>
      <c r="AA101" s="42" t="e">
        <f>VLOOKUP($I101,'AnmeldeVSS-Attribute'!$A$2:$H$16,6,FALSE)</f>
        <v>#N/A</v>
      </c>
      <c r="AB101" s="42" t="e">
        <f>VLOOKUP($I101,'AnmeldeVSS-Attribute'!$A$2:$H$16,7,FALSE)</f>
        <v>#N/A</v>
      </c>
      <c r="AC101" s="42" t="e">
        <f>IF(I101="Geldbetrag",J101,(IF(T101="",VLOOKUP($I101,'AnmeldeVSS-Attribute'!$A$2:$H$16,8,FALSE),T101)))</f>
        <v>#N/A</v>
      </c>
      <c r="AD101" s="42">
        <f>IF(S101="",0,VLOOKUP(S101,'AnmeldeVSS-Attribute'!$A$20:$B$26,2,FALSE))</f>
        <v>0</v>
      </c>
      <c r="AE101" s="42" t="e">
        <f t="shared" si="7"/>
        <v>#N/A</v>
      </c>
      <c r="AF101" s="42" t="str">
        <f t="shared" si="9"/>
        <v/>
      </c>
      <c r="AG101" s="42" t="str">
        <f t="shared" si="8"/>
        <v/>
      </c>
      <c r="AH101" s="47" t="str">
        <f t="shared" si="10"/>
        <v/>
      </c>
      <c r="AI101" s="47" t="str">
        <f t="shared" si="11"/>
        <v/>
      </c>
      <c r="AJ101" s="42" t="str">
        <f>IF(O101="",(IF(P101="Ansicht","INSERT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B101 &amp;" ,NULL ,'',349,"&amp; VLOOKUP(Q101,'AnmeldeVSS-Attribute'!$A$43:$B$50,2,FALSE)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B101 &amp;" ,"&amp; O101 &amp;" ,"&amp; IF(Q101="ja","'1'",IF(Q101="nein","'0'","'"&amp;Q101&amp;"'")) &amp;","&amp;IF(P101="enthält",349,IF(P101="nicht leer",352,IF(P101="enthält nicht",350,IF(P101="leer",351,0)))) &amp;" ,NULL ,GetDate() ,'scrc' ,GetDate() ,'scrc')")</f>
        <v/>
      </c>
      <c r="AK101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2" spans="1:37" x14ac:dyDescent="0.25">
      <c r="A102" s="66"/>
      <c r="B102" s="66"/>
      <c r="C102" s="64"/>
      <c r="D102" s="64"/>
      <c r="E102" s="63"/>
      <c r="F102" s="64"/>
      <c r="G102" s="64"/>
      <c r="H102" s="64"/>
      <c r="I102" s="64"/>
      <c r="J102" s="64"/>
      <c r="K102" s="64"/>
      <c r="L102" s="64"/>
      <c r="M102" s="63"/>
      <c r="N102" s="63"/>
      <c r="O102" s="63"/>
      <c r="P102" s="63"/>
      <c r="Q102" s="64"/>
      <c r="R102" s="63"/>
      <c r="S102" s="63"/>
      <c r="T102" s="65"/>
      <c r="U102" s="65"/>
      <c r="W102" s="42" t="e">
        <f>VLOOKUP($I102,'AnmeldeVSS-Attribute'!$A$2:$H$16,2,FALSE)</f>
        <v>#N/A</v>
      </c>
      <c r="X102" s="42" t="e">
        <f>VLOOKUP($I102,'AnmeldeVSS-Attribute'!$A$2:$H$16,3,FALSE)</f>
        <v>#N/A</v>
      </c>
      <c r="Y102" s="42" t="e">
        <f>VLOOKUP($I102,'AnmeldeVSS-Attribute'!$A$2:$H$16,4,FALSE)</f>
        <v>#N/A</v>
      </c>
      <c r="Z102" s="42" t="e">
        <f>VLOOKUP($I102,'AnmeldeVSS-Attribute'!$A$2:$H$16,5,FALSE)</f>
        <v>#N/A</v>
      </c>
      <c r="AA102" s="42" t="e">
        <f>VLOOKUP($I102,'AnmeldeVSS-Attribute'!$A$2:$H$16,6,FALSE)</f>
        <v>#N/A</v>
      </c>
      <c r="AB102" s="42" t="e">
        <f>VLOOKUP($I102,'AnmeldeVSS-Attribute'!$A$2:$H$16,7,FALSE)</f>
        <v>#N/A</v>
      </c>
      <c r="AC102" s="42" t="e">
        <f>IF(I102="Geldbetrag",J102,(IF(T102="",VLOOKUP($I102,'AnmeldeVSS-Attribute'!$A$2:$H$16,8,FALSE),T102)))</f>
        <v>#N/A</v>
      </c>
      <c r="AD102" s="42">
        <f>IF(S102="",0,VLOOKUP(S102,'AnmeldeVSS-Attribute'!$A$20:$B$26,2,FALSE))</f>
        <v>0</v>
      </c>
      <c r="AE102" s="42" t="e">
        <f t="shared" si="7"/>
        <v>#N/A</v>
      </c>
      <c r="AF102" s="42" t="str">
        <f t="shared" si="9"/>
        <v/>
      </c>
      <c r="AG102" s="42" t="str">
        <f t="shared" si="8"/>
        <v/>
      </c>
      <c r="AH102" s="47" t="str">
        <f t="shared" si="10"/>
        <v/>
      </c>
      <c r="AI102" s="47" t="str">
        <f t="shared" si="11"/>
        <v/>
      </c>
      <c r="AJ102" s="42" t="str">
        <f>IF(O102="",(IF(P102="Ansicht","INSERT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B102 &amp;" ,NULL ,'',349,"&amp; VLOOKUP(Q102,'AnmeldeVSS-Attribute'!$A$43:$B$50,2,FALSE)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B102 &amp;" ,"&amp; O102 &amp;" ,"&amp; IF(Q102="ja","'1'",IF(Q102="nein","'0'","'"&amp;Q102&amp;"'")) &amp;","&amp;IF(P102="enthält",349,IF(P102="nicht leer",352,IF(P102="enthält nicht",350,IF(P102="leer",351,0)))) &amp;" ,NULL ,GetDate() ,'scrc' ,GetDate() ,'scrc')")</f>
        <v/>
      </c>
      <c r="AK10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3" spans="1:37" x14ac:dyDescent="0.25">
      <c r="A103" s="36"/>
      <c r="B103" s="36"/>
      <c r="C103" s="64"/>
      <c r="D103" s="64"/>
      <c r="E103" s="63"/>
      <c r="F103" s="64"/>
      <c r="G103" s="64"/>
      <c r="H103" s="64"/>
      <c r="I103" s="64"/>
      <c r="J103" s="64"/>
      <c r="K103" s="64"/>
      <c r="L103" s="64"/>
      <c r="M103" s="63"/>
      <c r="N103" s="63"/>
      <c r="O103" s="63"/>
      <c r="P103" s="63"/>
      <c r="Q103" s="64"/>
      <c r="R103" s="63"/>
      <c r="S103" s="63"/>
      <c r="T103" s="65"/>
      <c r="U103" s="65"/>
      <c r="W103" s="42" t="e">
        <f>VLOOKUP($I103,'AnmeldeVSS-Attribute'!$A$2:$H$16,2,FALSE)</f>
        <v>#N/A</v>
      </c>
      <c r="X103" s="42" t="e">
        <f>VLOOKUP($I103,'AnmeldeVSS-Attribute'!$A$2:$H$16,3,FALSE)</f>
        <v>#N/A</v>
      </c>
      <c r="Y103" s="42" t="e">
        <f>VLOOKUP($I103,'AnmeldeVSS-Attribute'!$A$2:$H$16,4,FALSE)</f>
        <v>#N/A</v>
      </c>
      <c r="Z103" s="42" t="e">
        <f>VLOOKUP($I103,'AnmeldeVSS-Attribute'!$A$2:$H$16,5,FALSE)</f>
        <v>#N/A</v>
      </c>
      <c r="AA103" s="42" t="e">
        <f>VLOOKUP($I103,'AnmeldeVSS-Attribute'!$A$2:$H$16,6,FALSE)</f>
        <v>#N/A</v>
      </c>
      <c r="AB103" s="42" t="e">
        <f>VLOOKUP($I103,'AnmeldeVSS-Attribute'!$A$2:$H$16,7,FALSE)</f>
        <v>#N/A</v>
      </c>
      <c r="AC103" s="42" t="e">
        <f>IF(I103="Geldbetrag",J103,(IF(T103="",VLOOKUP($I103,'AnmeldeVSS-Attribute'!$A$2:$H$16,8,FALSE),T103)))</f>
        <v>#N/A</v>
      </c>
      <c r="AD103" s="42">
        <f>IF(S103="",0,VLOOKUP(S103,'AnmeldeVSS-Attribute'!$A$20:$B$26,2,FALSE))</f>
        <v>0</v>
      </c>
      <c r="AE103" s="42" t="e">
        <f t="shared" si="7"/>
        <v>#N/A</v>
      </c>
      <c r="AF103" s="42" t="str">
        <f t="shared" si="9"/>
        <v/>
      </c>
      <c r="AG103" s="42" t="str">
        <f t="shared" si="8"/>
        <v/>
      </c>
      <c r="AH103" s="47" t="str">
        <f t="shared" si="10"/>
        <v/>
      </c>
      <c r="AI103" s="47" t="str">
        <f t="shared" si="11"/>
        <v/>
      </c>
      <c r="AJ103" s="42" t="str">
        <f>IF(O103="",(IF(P103="Ansicht","INSERT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B103 &amp;" ,NULL ,'',349,"&amp; VLOOKUP(Q103,'AnmeldeVSS-Attribute'!$A$43:$B$50,2,FALSE)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B103 &amp;" ,"&amp; O103 &amp;" ,"&amp; IF(Q103="ja","'1'",IF(Q103="nein","'0'","'"&amp;Q103&amp;"'")) &amp;","&amp;IF(P103="enthält",349,IF(P103="nicht leer",352,IF(P103="enthält nicht",350,IF(P103="leer",351,0)))) &amp;" ,NULL ,GetDate() ,'scrc' ,GetDate() ,'scrc')")</f>
        <v/>
      </c>
      <c r="AK10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4" spans="1:37" x14ac:dyDescent="0.25">
      <c r="A104" s="36"/>
      <c r="B104" s="36"/>
      <c r="C104" s="64"/>
      <c r="D104" s="64"/>
      <c r="E104" s="63"/>
      <c r="F104" s="64"/>
      <c r="G104" s="64"/>
      <c r="H104" s="64"/>
      <c r="I104" s="64"/>
      <c r="J104" s="64"/>
      <c r="K104" s="64"/>
      <c r="L104" s="64"/>
      <c r="M104" s="63"/>
      <c r="N104" s="63"/>
      <c r="O104" s="63"/>
      <c r="P104" s="63"/>
      <c r="Q104" s="64"/>
      <c r="R104" s="63"/>
      <c r="S104" s="63"/>
      <c r="T104" s="65"/>
      <c r="U104" s="65"/>
      <c r="W104" s="42" t="e">
        <f>VLOOKUP($I104,'AnmeldeVSS-Attribute'!$A$2:$H$16,2,FALSE)</f>
        <v>#N/A</v>
      </c>
      <c r="X104" s="42" t="e">
        <f>VLOOKUP($I104,'AnmeldeVSS-Attribute'!$A$2:$H$16,3,FALSE)</f>
        <v>#N/A</v>
      </c>
      <c r="Y104" s="42" t="e">
        <f>VLOOKUP($I104,'AnmeldeVSS-Attribute'!$A$2:$H$16,4,FALSE)</f>
        <v>#N/A</v>
      </c>
      <c r="Z104" s="42" t="e">
        <f>VLOOKUP($I104,'AnmeldeVSS-Attribute'!$A$2:$H$16,5,FALSE)</f>
        <v>#N/A</v>
      </c>
      <c r="AA104" s="42" t="e">
        <f>VLOOKUP($I104,'AnmeldeVSS-Attribute'!$A$2:$H$16,6,FALSE)</f>
        <v>#N/A</v>
      </c>
      <c r="AB104" s="42" t="e">
        <f>VLOOKUP($I104,'AnmeldeVSS-Attribute'!$A$2:$H$16,7,FALSE)</f>
        <v>#N/A</v>
      </c>
      <c r="AC104" s="42" t="e">
        <f>IF(I104="Geldbetrag",J104,(IF(T104="",VLOOKUP($I104,'AnmeldeVSS-Attribute'!$A$2:$H$16,8,FALSE),T104)))</f>
        <v>#N/A</v>
      </c>
      <c r="AD104" s="42">
        <f>IF(S104="",0,VLOOKUP(S104,'AnmeldeVSS-Attribute'!$A$20:$B$26,2,FALSE))</f>
        <v>0</v>
      </c>
      <c r="AE104" s="42" t="e">
        <f t="shared" si="7"/>
        <v>#N/A</v>
      </c>
      <c r="AF104" s="42" t="str">
        <f t="shared" si="9"/>
        <v/>
      </c>
      <c r="AG104" s="42" t="str">
        <f t="shared" si="8"/>
        <v/>
      </c>
      <c r="AH104" s="47" t="str">
        <f t="shared" si="10"/>
        <v/>
      </c>
      <c r="AI104" s="47" t="str">
        <f t="shared" si="11"/>
        <v/>
      </c>
      <c r="AJ104" s="42" t="str">
        <f>IF(O104="",(IF(P104="Ansicht","INSERT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B104 &amp;" ,NULL ,'',349,"&amp; VLOOKUP(Q104,'AnmeldeVSS-Attribute'!$A$43:$B$50,2,FALSE)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B104 &amp;" ,"&amp; O104 &amp;" ,"&amp; IF(Q104="ja","'1'",IF(Q104="nein","'0'","'"&amp;Q104&amp;"'")) &amp;","&amp;IF(P104="enthält",349,IF(P104="nicht leer",352,IF(P104="enthält nicht",350,IF(P104="leer",351,0)))) &amp;" ,NULL ,GetDate() ,'scrc' ,GetDate() ,'scrc')")</f>
        <v/>
      </c>
      <c r="AK10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5" spans="1:37" x14ac:dyDescent="0.25">
      <c r="A105" s="36"/>
      <c r="B105" s="36"/>
      <c r="C105" s="64"/>
      <c r="D105" s="64"/>
      <c r="E105" s="63"/>
      <c r="F105" s="64"/>
      <c r="G105" s="64"/>
      <c r="H105" s="64"/>
      <c r="I105" s="64"/>
      <c r="J105" s="64"/>
      <c r="K105" s="64"/>
      <c r="L105" s="64"/>
      <c r="M105" s="63"/>
      <c r="N105" s="63"/>
      <c r="O105" s="63"/>
      <c r="P105" s="63"/>
      <c r="Q105" s="64"/>
      <c r="R105" s="63"/>
      <c r="S105" s="63"/>
      <c r="T105" s="65"/>
      <c r="U105" s="65"/>
      <c r="W105" s="42" t="e">
        <f>VLOOKUP($I105,'AnmeldeVSS-Attribute'!$A$2:$H$16,2,FALSE)</f>
        <v>#N/A</v>
      </c>
      <c r="X105" s="42" t="e">
        <f>VLOOKUP($I105,'AnmeldeVSS-Attribute'!$A$2:$H$16,3,FALSE)</f>
        <v>#N/A</v>
      </c>
      <c r="Y105" s="42" t="e">
        <f>VLOOKUP($I105,'AnmeldeVSS-Attribute'!$A$2:$H$16,4,FALSE)</f>
        <v>#N/A</v>
      </c>
      <c r="Z105" s="42" t="e">
        <f>VLOOKUP($I105,'AnmeldeVSS-Attribute'!$A$2:$H$16,5,FALSE)</f>
        <v>#N/A</v>
      </c>
      <c r="AA105" s="42" t="e">
        <f>VLOOKUP($I105,'AnmeldeVSS-Attribute'!$A$2:$H$16,6,FALSE)</f>
        <v>#N/A</v>
      </c>
      <c r="AB105" s="42" t="e">
        <f>VLOOKUP($I105,'AnmeldeVSS-Attribute'!$A$2:$H$16,7,FALSE)</f>
        <v>#N/A</v>
      </c>
      <c r="AC105" s="42" t="e">
        <f>IF(I105="Geldbetrag",J105,(IF(T105="",VLOOKUP($I105,'AnmeldeVSS-Attribute'!$A$2:$H$16,8,FALSE),T105)))</f>
        <v>#N/A</v>
      </c>
      <c r="AD105" s="42">
        <f>IF(S105="",0,VLOOKUP(S105,'AnmeldeVSS-Attribute'!$A$20:$B$26,2,FALSE))</f>
        <v>0</v>
      </c>
      <c r="AE105" s="42" t="e">
        <f t="shared" si="7"/>
        <v>#N/A</v>
      </c>
      <c r="AF105" s="42" t="str">
        <f t="shared" si="9"/>
        <v/>
      </c>
      <c r="AG105" s="42" t="str">
        <f t="shared" si="8"/>
        <v/>
      </c>
      <c r="AH105" s="47" t="str">
        <f t="shared" si="10"/>
        <v/>
      </c>
      <c r="AI105" s="47" t="str">
        <f t="shared" si="11"/>
        <v/>
      </c>
      <c r="AJ105" s="42" t="str">
        <f>IF(O105="",(IF(P105="Ansicht","INSERT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B105 &amp;" ,NULL ,'',349,"&amp; VLOOKUP(Q105,'AnmeldeVSS-Attribute'!$A$43:$B$50,2,FALSE)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B105 &amp;" ,"&amp; O105 &amp;" ,"&amp; IF(Q105="ja","'1'",IF(Q105="nein","'0'","'"&amp;Q105&amp;"'")) &amp;","&amp;IF(P105="enthält",349,IF(P105="nicht leer",352,IF(P105="enthält nicht",350,IF(P105="leer",351,0)))) &amp;" ,NULL ,GetDate() ,'scrc' ,GetDate() ,'scrc')")</f>
        <v/>
      </c>
      <c r="AK10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6" spans="1:37" ht="42" customHeight="1" x14ac:dyDescent="0.25">
      <c r="A106" s="66"/>
      <c r="B106" s="66"/>
      <c r="C106" s="64"/>
      <c r="D106" s="64"/>
      <c r="E106" s="63"/>
      <c r="F106" s="64"/>
      <c r="G106" s="64"/>
      <c r="H106" s="64"/>
      <c r="I106" s="64"/>
      <c r="J106" s="64"/>
      <c r="K106" s="64"/>
      <c r="L106" s="64"/>
      <c r="M106" s="63"/>
      <c r="N106" s="63"/>
      <c r="O106" s="63"/>
      <c r="P106" s="63"/>
      <c r="Q106" s="64"/>
      <c r="R106" s="63"/>
      <c r="S106" s="63"/>
      <c r="T106" s="65"/>
      <c r="U106" s="65"/>
      <c r="W106" s="42" t="e">
        <f>VLOOKUP($I106,'AnmeldeVSS-Attribute'!$A$2:$H$16,2,FALSE)</f>
        <v>#N/A</v>
      </c>
      <c r="X106" s="42" t="e">
        <f>VLOOKUP($I106,'AnmeldeVSS-Attribute'!$A$2:$H$16,3,FALSE)</f>
        <v>#N/A</v>
      </c>
      <c r="Y106" s="42" t="e">
        <f>VLOOKUP($I106,'AnmeldeVSS-Attribute'!$A$2:$H$16,4,FALSE)</f>
        <v>#N/A</v>
      </c>
      <c r="Z106" s="42" t="e">
        <f>VLOOKUP($I106,'AnmeldeVSS-Attribute'!$A$2:$H$16,5,FALSE)</f>
        <v>#N/A</v>
      </c>
      <c r="AA106" s="42" t="e">
        <f>VLOOKUP($I106,'AnmeldeVSS-Attribute'!$A$2:$H$16,6,FALSE)</f>
        <v>#N/A</v>
      </c>
      <c r="AB106" s="42" t="e">
        <f>VLOOKUP($I106,'AnmeldeVSS-Attribute'!$A$2:$H$16,7,FALSE)</f>
        <v>#N/A</v>
      </c>
      <c r="AC106" s="42" t="e">
        <f>IF(I106="Geldbetrag",J106,(IF(T106="",VLOOKUP($I106,'AnmeldeVSS-Attribute'!$A$2:$H$16,8,FALSE),T106)))</f>
        <v>#N/A</v>
      </c>
      <c r="AD106" s="42">
        <f>IF(S106="",0,VLOOKUP(S106,'AnmeldeVSS-Attribute'!$A$20:$B$26,2,FALSE))</f>
        <v>0</v>
      </c>
      <c r="AE106" s="42" t="e">
        <f t="shared" si="7"/>
        <v>#N/A</v>
      </c>
      <c r="AF106" s="42" t="str">
        <f t="shared" si="9"/>
        <v/>
      </c>
      <c r="AG106" s="42" t="str">
        <f t="shared" si="8"/>
        <v/>
      </c>
      <c r="AH106" s="47" t="str">
        <f t="shared" si="10"/>
        <v/>
      </c>
      <c r="AI106" s="47" t="str">
        <f t="shared" si="11"/>
        <v/>
      </c>
      <c r="AJ106" s="42" t="str">
        <f>IF(O106="",(IF(P106="Ansicht","INSERT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B106 &amp;" ,NULL ,'',349,"&amp; VLOOKUP(Q106,'AnmeldeVSS-Attribute'!$A$43:$B$50,2,FALSE)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B106 &amp;" ,"&amp; O106 &amp;" ,"&amp; IF(Q106="ja","'1'",IF(Q106="nein","'0'","'"&amp;Q106&amp;"'")) &amp;","&amp;IF(P106="enthält",349,IF(P106="nicht leer",352,IF(P106="enthält nicht",350,IF(P106="leer",351,0)))) &amp;" ,NULL ,GetDate() ,'scrc' ,GetDate() ,'scrc')")</f>
        <v/>
      </c>
      <c r="AK10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7" spans="1:37" x14ac:dyDescent="0.25">
      <c r="A107" s="36"/>
      <c r="B107" s="36"/>
      <c r="C107" s="64"/>
      <c r="D107" s="64"/>
      <c r="E107" s="63"/>
      <c r="F107" s="64"/>
      <c r="G107" s="64"/>
      <c r="H107" s="64"/>
      <c r="I107" s="64"/>
      <c r="J107" s="64"/>
      <c r="K107" s="64"/>
      <c r="L107" s="64"/>
      <c r="M107" s="63"/>
      <c r="N107" s="63"/>
      <c r="O107" s="63"/>
      <c r="P107" s="63"/>
      <c r="Q107" s="64"/>
      <c r="R107" s="63"/>
      <c r="S107" s="63"/>
      <c r="T107" s="65"/>
      <c r="U107" s="65"/>
      <c r="V107" s="42"/>
      <c r="W107" s="42" t="e">
        <f>VLOOKUP($I107,'AnmeldeVSS-Attribute'!$A$2:$H$16,2,FALSE)</f>
        <v>#N/A</v>
      </c>
      <c r="X107" s="42" t="e">
        <f>VLOOKUP($I107,'AnmeldeVSS-Attribute'!$A$2:$H$16,3,FALSE)</f>
        <v>#N/A</v>
      </c>
      <c r="Y107" s="42" t="e">
        <f>VLOOKUP($I107,'AnmeldeVSS-Attribute'!$A$2:$H$16,4,FALSE)</f>
        <v>#N/A</v>
      </c>
      <c r="Z107" s="42" t="e">
        <f>VLOOKUP($I107,'AnmeldeVSS-Attribute'!$A$2:$H$16,5,FALSE)</f>
        <v>#N/A</v>
      </c>
      <c r="AA107" s="42" t="e">
        <f>VLOOKUP($I107,'AnmeldeVSS-Attribute'!$A$2:$H$16,6,FALSE)</f>
        <v>#N/A</v>
      </c>
      <c r="AB107" s="42" t="e">
        <f>VLOOKUP($I107,'AnmeldeVSS-Attribute'!$A$2:$H$16,7,FALSE)</f>
        <v>#N/A</v>
      </c>
      <c r="AC107" s="42" t="e">
        <f>IF(I107="Geldbetrag",J107,(IF(T107="",VLOOKUP($I107,'AnmeldeVSS-Attribute'!$A$2:$H$16,8,FALSE),T107)))</f>
        <v>#N/A</v>
      </c>
      <c r="AD107" s="42">
        <f>IF(S107="",0,VLOOKUP(S107,'AnmeldeVSS-Attribute'!$A$20:$B$26,2,FALSE))</f>
        <v>0</v>
      </c>
      <c r="AE107" s="42" t="e">
        <f t="shared" si="7"/>
        <v>#N/A</v>
      </c>
      <c r="AF107" s="42" t="str">
        <f t="shared" si="9"/>
        <v/>
      </c>
      <c r="AG107" s="42" t="str">
        <f t="shared" si="8"/>
        <v/>
      </c>
      <c r="AH107" s="47" t="str">
        <f t="shared" si="10"/>
        <v/>
      </c>
      <c r="AI107" s="47" t="str">
        <f t="shared" si="11"/>
        <v/>
      </c>
      <c r="AJ107" s="42" t="str">
        <f>IF(O107="",(IF(P107="Ansicht","INSERT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B107 &amp;" ,NULL ,'',349,"&amp; VLOOKUP(Q107,'AnmeldeVSS-Attribute'!$A$43:$B$50,2,FALSE)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B107 &amp;" ,"&amp; O107 &amp;" ,"&amp; IF(Q107="ja","'1'",IF(Q107="nein","'0'","'"&amp;Q107&amp;"'")) &amp;","&amp;IF(P107="enthält",349,IF(P107="nicht leer",352,IF(P107="enthält nicht",350,IF(P107="leer",351,0)))) &amp;" ,NULL ,GetDate() ,'scrc' ,GetDate() ,'scrc')")</f>
        <v/>
      </c>
      <c r="AK10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8" spans="1:37" ht="106.15" customHeight="1" x14ac:dyDescent="0.25">
      <c r="A108" s="66"/>
      <c r="B108" s="66"/>
      <c r="C108" s="64"/>
      <c r="D108" s="64"/>
      <c r="E108" s="63"/>
      <c r="F108" s="64"/>
      <c r="G108" s="64"/>
      <c r="H108" s="64"/>
      <c r="I108" s="64"/>
      <c r="J108" s="64"/>
      <c r="K108" s="64"/>
      <c r="L108" s="64"/>
      <c r="M108" s="63"/>
      <c r="N108" s="63"/>
      <c r="O108" s="63"/>
      <c r="P108" s="63"/>
      <c r="Q108" s="64"/>
      <c r="R108" s="63"/>
      <c r="S108" s="63"/>
      <c r="T108" s="65"/>
      <c r="U108" s="67"/>
      <c r="V108" s="42"/>
      <c r="W108" s="42" t="e">
        <f>VLOOKUP($I108,'AnmeldeVSS-Attribute'!$A$2:$H$16,2,FALSE)</f>
        <v>#N/A</v>
      </c>
      <c r="X108" s="42" t="e">
        <f>VLOOKUP($I108,'AnmeldeVSS-Attribute'!$A$2:$H$16,3,FALSE)</f>
        <v>#N/A</v>
      </c>
      <c r="Y108" s="42" t="e">
        <f>VLOOKUP($I108,'AnmeldeVSS-Attribute'!$A$2:$H$16,4,FALSE)</f>
        <v>#N/A</v>
      </c>
      <c r="Z108" s="42" t="e">
        <f>VLOOKUP($I108,'AnmeldeVSS-Attribute'!$A$2:$H$16,5,FALSE)</f>
        <v>#N/A</v>
      </c>
      <c r="AA108" s="42" t="e">
        <f>VLOOKUP($I108,'AnmeldeVSS-Attribute'!$A$2:$H$16,6,FALSE)</f>
        <v>#N/A</v>
      </c>
      <c r="AB108" s="42" t="e">
        <f>VLOOKUP($I108,'AnmeldeVSS-Attribute'!$A$2:$H$16,7,FALSE)</f>
        <v>#N/A</v>
      </c>
      <c r="AC108" s="42" t="e">
        <f>IF(I108="Geldbetrag",J108,(IF(T108="",VLOOKUP($I108,'AnmeldeVSS-Attribute'!$A$2:$H$16,8,FALSE),T108)))</f>
        <v>#N/A</v>
      </c>
      <c r="AD108" s="42">
        <f>IF(S108="",0,VLOOKUP(S108,'AnmeldeVSS-Attribute'!$A$20:$B$26,2,FALSE))</f>
        <v>0</v>
      </c>
      <c r="AE108" s="42" t="e">
        <f t="shared" si="7"/>
        <v>#N/A</v>
      </c>
      <c r="AF108" s="42" t="str">
        <f t="shared" si="9"/>
        <v/>
      </c>
      <c r="AG108" s="42" t="str">
        <f t="shared" si="8"/>
        <v/>
      </c>
      <c r="AH108" s="47" t="str">
        <f t="shared" si="10"/>
        <v/>
      </c>
      <c r="AI108" s="47" t="str">
        <f t="shared" si="11"/>
        <v/>
      </c>
      <c r="AJ108" s="42" t="str">
        <f>IF(O108="",(IF(P108="Ansicht","INSERT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B108 &amp;" ,NULL ,'',349,"&amp; VLOOKUP(Q108,'AnmeldeVSS-Attribute'!$A$43:$B$50,2,FALSE)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B108 &amp;" ,"&amp; O108 &amp;" ,"&amp; IF(Q108="ja","'1'",IF(Q108="nein","'0'","'"&amp;Q108&amp;"'")) &amp;","&amp;IF(P108="enthält",349,IF(P108="nicht leer",352,IF(P108="enthält nicht",350,IF(P108="leer",351,0)))) &amp;" ,NULL ,GetDate() ,'scrc' ,GetDate() ,'scrc')")</f>
        <v/>
      </c>
      <c r="AK10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09" spans="1:37" x14ac:dyDescent="0.25">
      <c r="A109" s="36"/>
      <c r="B109" s="36"/>
      <c r="C109" s="64"/>
      <c r="D109" s="64"/>
      <c r="E109" s="63"/>
      <c r="F109" s="64"/>
      <c r="G109" s="64"/>
      <c r="H109" s="64"/>
      <c r="I109" s="64"/>
      <c r="J109" s="64"/>
      <c r="K109" s="64"/>
      <c r="L109" s="64"/>
      <c r="M109" s="63"/>
      <c r="N109" s="63"/>
      <c r="O109" s="63"/>
      <c r="P109" s="63"/>
      <c r="Q109" s="64"/>
      <c r="R109" s="63"/>
      <c r="S109" s="63"/>
      <c r="T109" s="65"/>
      <c r="U109" s="65"/>
      <c r="V109" s="42"/>
      <c r="W109" s="42" t="e">
        <f>VLOOKUP($I109,'AnmeldeVSS-Attribute'!$A$2:$H$16,2,FALSE)</f>
        <v>#N/A</v>
      </c>
      <c r="X109" s="42" t="e">
        <f>VLOOKUP($I109,'AnmeldeVSS-Attribute'!$A$2:$H$16,3,FALSE)</f>
        <v>#N/A</v>
      </c>
      <c r="Y109" s="42" t="e">
        <f>VLOOKUP($I109,'AnmeldeVSS-Attribute'!$A$2:$H$16,4,FALSE)</f>
        <v>#N/A</v>
      </c>
      <c r="Z109" s="42" t="e">
        <f>VLOOKUP($I109,'AnmeldeVSS-Attribute'!$A$2:$H$16,5,FALSE)</f>
        <v>#N/A</v>
      </c>
      <c r="AA109" s="42" t="e">
        <f>VLOOKUP($I109,'AnmeldeVSS-Attribute'!$A$2:$H$16,6,FALSE)</f>
        <v>#N/A</v>
      </c>
      <c r="AB109" s="42" t="e">
        <f>VLOOKUP($I109,'AnmeldeVSS-Attribute'!$A$2:$H$16,7,FALSE)</f>
        <v>#N/A</v>
      </c>
      <c r="AC109" s="42" t="e">
        <f>IF(I109="Geldbetrag",J109,(IF(T109="",VLOOKUP($I109,'AnmeldeVSS-Attribute'!$A$2:$H$16,8,FALSE),T109)))</f>
        <v>#N/A</v>
      </c>
      <c r="AD109" s="42">
        <f>IF(S109="",0,VLOOKUP(S109,'AnmeldeVSS-Attribute'!$A$20:$B$26,2,FALSE))</f>
        <v>0</v>
      </c>
      <c r="AE109" s="42" t="e">
        <f t="shared" si="7"/>
        <v>#N/A</v>
      </c>
      <c r="AF109" s="42" t="str">
        <f t="shared" si="9"/>
        <v/>
      </c>
      <c r="AG109" s="42" t="str">
        <f t="shared" si="8"/>
        <v/>
      </c>
      <c r="AH109" s="47" t="str">
        <f t="shared" si="10"/>
        <v/>
      </c>
      <c r="AI109" s="47" t="str">
        <f t="shared" si="11"/>
        <v/>
      </c>
      <c r="AJ109" s="42" t="str">
        <f>IF(O109="",(IF(P109="Ansicht","INSERT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B109 &amp;" ,NULL ,'',349,"&amp; VLOOKUP(Q109,'AnmeldeVSS-Attribute'!$A$43:$B$50,2,FALSE)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B109 &amp;" ,"&amp; O109 &amp;" ,"&amp; IF(Q109="ja","'1'",IF(Q109="nein","'0'","'"&amp;Q109&amp;"'")) &amp;","&amp;IF(P109="enthält",349,IF(P109="nicht leer",352,IF(P109="enthält nicht",350,IF(P109="leer",351,0)))) &amp;" ,NULL ,GetDate() ,'scrc' ,GetDate() ,'scrc')")</f>
        <v/>
      </c>
      <c r="AK10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0" spans="1:37" x14ac:dyDescent="0.25">
      <c r="A110" s="66"/>
      <c r="B110" s="66"/>
      <c r="C110" s="64"/>
      <c r="D110" s="64"/>
      <c r="E110" s="63"/>
      <c r="F110" s="64"/>
      <c r="G110" s="64"/>
      <c r="H110" s="64"/>
      <c r="I110" s="64"/>
      <c r="J110" s="64"/>
      <c r="K110" s="64"/>
      <c r="L110" s="64"/>
      <c r="M110" s="63"/>
      <c r="N110" s="63"/>
      <c r="O110" s="63"/>
      <c r="P110" s="63"/>
      <c r="Q110" s="64"/>
      <c r="R110" s="63"/>
      <c r="S110" s="63"/>
      <c r="T110" s="65"/>
      <c r="U110" s="65"/>
      <c r="W110" s="42" t="e">
        <f>VLOOKUP($I110,'AnmeldeVSS-Attribute'!$A$2:$H$16,2,FALSE)</f>
        <v>#N/A</v>
      </c>
      <c r="X110" s="42" t="e">
        <f>VLOOKUP($I110,'AnmeldeVSS-Attribute'!$A$2:$H$16,3,FALSE)</f>
        <v>#N/A</v>
      </c>
      <c r="Y110" s="42" t="e">
        <f>VLOOKUP($I110,'AnmeldeVSS-Attribute'!$A$2:$H$16,4,FALSE)</f>
        <v>#N/A</v>
      </c>
      <c r="Z110" s="42" t="e">
        <f>VLOOKUP($I110,'AnmeldeVSS-Attribute'!$A$2:$H$16,5,FALSE)</f>
        <v>#N/A</v>
      </c>
      <c r="AA110" s="42" t="e">
        <f>VLOOKUP($I110,'AnmeldeVSS-Attribute'!$A$2:$H$16,6,FALSE)</f>
        <v>#N/A</v>
      </c>
      <c r="AB110" s="42" t="e">
        <f>VLOOKUP($I110,'AnmeldeVSS-Attribute'!$A$2:$H$16,7,FALSE)</f>
        <v>#N/A</v>
      </c>
      <c r="AC110" s="42" t="e">
        <f>IF(I110="Geldbetrag",J110,(IF(T110="",VLOOKUP($I110,'AnmeldeVSS-Attribute'!$A$2:$H$16,8,FALSE),T110)))</f>
        <v>#N/A</v>
      </c>
      <c r="AD110" s="42">
        <f>IF(S110="",0,VLOOKUP(S110,'AnmeldeVSS-Attribute'!$A$20:$B$26,2,FALSE))</f>
        <v>0</v>
      </c>
      <c r="AE110" s="42" t="e">
        <f t="shared" si="7"/>
        <v>#N/A</v>
      </c>
      <c r="AF110" s="42" t="str">
        <f t="shared" si="9"/>
        <v/>
      </c>
      <c r="AG110" s="42" t="str">
        <f t="shared" si="8"/>
        <v/>
      </c>
      <c r="AH110" s="47" t="str">
        <f t="shared" si="10"/>
        <v/>
      </c>
      <c r="AI110" s="47" t="str">
        <f t="shared" si="11"/>
        <v/>
      </c>
      <c r="AJ110" s="42" t="str">
        <f>IF(O110="",(IF(P110="Ansicht","INSERT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B110 &amp;" ,NULL ,'',349,"&amp; VLOOKUP(Q110,'AnmeldeVSS-Attribute'!$A$43:$B$50,2,FALSE)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B110 &amp;" ,"&amp; O110 &amp;" ,"&amp; IF(Q110="ja","'1'",IF(Q110="nein","'0'","'"&amp;Q110&amp;"'")) &amp;","&amp;IF(P110="enthält",349,IF(P110="nicht leer",352,IF(P110="enthält nicht",350,IF(P110="leer",351,0)))) &amp;" ,NULL ,GetDate() ,'scrc' ,GetDate() ,'scrc')")</f>
        <v/>
      </c>
      <c r="AK11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1" spans="1:37" x14ac:dyDescent="0.25">
      <c r="A111" s="36"/>
      <c r="B111" s="36"/>
      <c r="C111" s="64"/>
      <c r="D111" s="64"/>
      <c r="E111" s="63"/>
      <c r="F111" s="64"/>
      <c r="G111" s="64"/>
      <c r="H111" s="64"/>
      <c r="I111" s="64"/>
      <c r="J111" s="72"/>
      <c r="K111" s="72"/>
      <c r="L111" s="64"/>
      <c r="M111" s="63"/>
      <c r="N111" s="63"/>
      <c r="O111" s="63"/>
      <c r="P111" s="73"/>
      <c r="Q111" s="72"/>
      <c r="R111" s="63"/>
      <c r="S111" s="63"/>
      <c r="T111" s="65"/>
      <c r="U111" s="67"/>
      <c r="V111" s="42" t="e">
        <f>VLOOKUP($H166,'[2]AnmeldeVSS-Attribute'!$A$2:$H$16,2,FALSE)</f>
        <v>#N/A</v>
      </c>
      <c r="W111" s="42" t="e">
        <f>VLOOKUP($I111,'AnmeldeVSS-Attribute'!$A$2:$H$16,2,FALSE)</f>
        <v>#N/A</v>
      </c>
      <c r="X111" s="42" t="e">
        <f>VLOOKUP($I111,'AnmeldeVSS-Attribute'!$A$2:$H$16,3,FALSE)</f>
        <v>#N/A</v>
      </c>
      <c r="Y111" s="42" t="e">
        <f>VLOOKUP($I111,'AnmeldeVSS-Attribute'!$A$2:$H$16,4,FALSE)</f>
        <v>#N/A</v>
      </c>
      <c r="Z111" s="42" t="e">
        <f>VLOOKUP($I111,'AnmeldeVSS-Attribute'!$A$2:$H$16,5,FALSE)</f>
        <v>#N/A</v>
      </c>
      <c r="AA111" s="42" t="e">
        <f>VLOOKUP($I111,'AnmeldeVSS-Attribute'!$A$2:$H$16,6,FALSE)</f>
        <v>#N/A</v>
      </c>
      <c r="AB111" s="42" t="e">
        <f>VLOOKUP($I111,'AnmeldeVSS-Attribute'!$A$2:$H$16,7,FALSE)</f>
        <v>#N/A</v>
      </c>
      <c r="AC111" s="42" t="e">
        <f>IF(I111="Geldbetrag",J111,(IF(T111="",VLOOKUP($I111,'AnmeldeVSS-Attribute'!$A$2:$H$16,8,FALSE),T111)))</f>
        <v>#N/A</v>
      </c>
      <c r="AD111" s="42">
        <f>IF(S111="",0,VLOOKUP(S111,'AnmeldeVSS-Attribute'!$A$20:$B$26,2,FALSE))</f>
        <v>0</v>
      </c>
      <c r="AE111" s="42" t="e">
        <f t="shared" si="7"/>
        <v>#N/A</v>
      </c>
      <c r="AF111" s="42" t="str">
        <f t="shared" si="9"/>
        <v/>
      </c>
      <c r="AG111" s="42" t="str">
        <f t="shared" si="8"/>
        <v/>
      </c>
      <c r="AH111" s="47" t="str">
        <f t="shared" si="10"/>
        <v/>
      </c>
      <c r="AI111" s="47" t="str">
        <f t="shared" si="11"/>
        <v/>
      </c>
      <c r="AJ111" s="42" t="str">
        <f>IF(O111="",(IF(P111="Ansicht","INSERT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B111 &amp;" ,NULL ,'',349,"&amp; VLOOKUP(Q111,'AnmeldeVSS-Attribute'!$A$43:$B$50,2,FALSE)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B111 &amp;" ,"&amp; O111 &amp;" ,"&amp; IF(Q111="ja","'1'",IF(Q111="nein","'0'","'"&amp;Q111&amp;"'")) &amp;","&amp;IF(P111="enthält",349,IF(P111="nicht leer",352,IF(P111="enthält nicht",350,IF(P111="leer",351,0)))) &amp;" ,NULL ,GetDate() ,'scrc' ,GetDate() ,'scrc')")</f>
        <v/>
      </c>
      <c r="AK111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2" spans="1:37" x14ac:dyDescent="0.25">
      <c r="A112" s="66"/>
      <c r="B112" s="66"/>
      <c r="C112" s="64"/>
      <c r="D112" s="64"/>
      <c r="E112" s="63"/>
      <c r="F112" s="64"/>
      <c r="G112" s="64"/>
      <c r="H112" s="64"/>
      <c r="I112" s="64"/>
      <c r="J112" s="64"/>
      <c r="K112" s="64"/>
      <c r="L112" s="64"/>
      <c r="M112" s="63"/>
      <c r="N112" s="63"/>
      <c r="O112" s="63"/>
      <c r="P112" s="63"/>
      <c r="Q112" s="64"/>
      <c r="R112" s="63"/>
      <c r="S112" s="63"/>
      <c r="T112" s="65"/>
      <c r="U112" s="65"/>
      <c r="W112" s="42" t="e">
        <f>VLOOKUP($I112,'AnmeldeVSS-Attribute'!$A$2:$H$16,2,FALSE)</f>
        <v>#N/A</v>
      </c>
      <c r="X112" s="42" t="e">
        <f>VLOOKUP($I112,'AnmeldeVSS-Attribute'!$A$2:$H$16,3,FALSE)</f>
        <v>#N/A</v>
      </c>
      <c r="Y112" s="42" t="e">
        <f>VLOOKUP($I112,'AnmeldeVSS-Attribute'!$A$2:$H$16,4,FALSE)</f>
        <v>#N/A</v>
      </c>
      <c r="Z112" s="42" t="e">
        <f>VLOOKUP($I112,'AnmeldeVSS-Attribute'!$A$2:$H$16,5,FALSE)</f>
        <v>#N/A</v>
      </c>
      <c r="AA112" s="42" t="e">
        <f>VLOOKUP($I112,'AnmeldeVSS-Attribute'!$A$2:$H$16,6,FALSE)</f>
        <v>#N/A</v>
      </c>
      <c r="AB112" s="42" t="e">
        <f>VLOOKUP($I112,'AnmeldeVSS-Attribute'!$A$2:$H$16,7,FALSE)</f>
        <v>#N/A</v>
      </c>
      <c r="AC112" s="42" t="e">
        <f>IF(I112="Geldbetrag",J112,(IF(T112="",VLOOKUP($I112,'AnmeldeVSS-Attribute'!$A$2:$H$16,8,FALSE),T112)))</f>
        <v>#N/A</v>
      </c>
      <c r="AD112" s="42">
        <f>IF(S112="",0,VLOOKUP(S112,'AnmeldeVSS-Attribute'!$A$20:$B$26,2,FALSE))</f>
        <v>0</v>
      </c>
      <c r="AE112" s="42" t="e">
        <f t="shared" si="7"/>
        <v>#N/A</v>
      </c>
      <c r="AF112" s="42" t="str">
        <f t="shared" si="9"/>
        <v/>
      </c>
      <c r="AG112" s="42" t="str">
        <f t="shared" si="8"/>
        <v/>
      </c>
      <c r="AH112" s="47" t="str">
        <f t="shared" si="10"/>
        <v/>
      </c>
      <c r="AI112" s="47" t="str">
        <f t="shared" si="11"/>
        <v/>
      </c>
      <c r="AJ112" s="42" t="str">
        <f>IF(O112="",(IF(P112="Ansicht","INSERT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B112 &amp;" ,NULL ,'',349,"&amp; VLOOKUP(Q112,'AnmeldeVSS-Attribute'!$A$43:$B$50,2,FALSE)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B112 &amp;" ,"&amp; O112 &amp;" ,"&amp; IF(Q112="ja","'1'",IF(Q112="nein","'0'","'"&amp;Q112&amp;"'")) &amp;","&amp;IF(P112="enthält",349,IF(P112="nicht leer",352,IF(P112="enthält nicht",350,IF(P112="leer",351,0)))) &amp;" ,NULL ,GetDate() ,'scrc' ,GetDate() ,'scrc')")</f>
        <v/>
      </c>
      <c r="AK11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3" spans="1:37" x14ac:dyDescent="0.25">
      <c r="A113" s="36"/>
      <c r="B113" s="36"/>
      <c r="C113" s="64"/>
      <c r="D113" s="64"/>
      <c r="E113" s="63"/>
      <c r="F113" s="64"/>
      <c r="G113" s="64"/>
      <c r="H113" s="64"/>
      <c r="I113" s="64"/>
      <c r="J113" s="64"/>
      <c r="K113" s="64"/>
      <c r="L113" s="64"/>
      <c r="M113" s="63"/>
      <c r="N113" s="63"/>
      <c r="O113" s="63"/>
      <c r="P113" s="63"/>
      <c r="Q113" s="64"/>
      <c r="R113" s="63"/>
      <c r="S113" s="63"/>
      <c r="T113" s="65"/>
      <c r="U113" s="65"/>
      <c r="W113" s="42" t="e">
        <f>VLOOKUP($I113,'AnmeldeVSS-Attribute'!$A$2:$H$16,2,FALSE)</f>
        <v>#N/A</v>
      </c>
      <c r="X113" s="42" t="e">
        <f>VLOOKUP($I113,'AnmeldeVSS-Attribute'!$A$2:$H$16,3,FALSE)</f>
        <v>#N/A</v>
      </c>
      <c r="Y113" s="42" t="e">
        <f>VLOOKUP($I113,'AnmeldeVSS-Attribute'!$A$2:$H$16,4,FALSE)</f>
        <v>#N/A</v>
      </c>
      <c r="Z113" s="42" t="e">
        <f>VLOOKUP($I113,'AnmeldeVSS-Attribute'!$A$2:$H$16,5,FALSE)</f>
        <v>#N/A</v>
      </c>
      <c r="AA113" s="42" t="e">
        <f>VLOOKUP($I113,'AnmeldeVSS-Attribute'!$A$2:$H$16,6,FALSE)</f>
        <v>#N/A</v>
      </c>
      <c r="AB113" s="42" t="e">
        <f>VLOOKUP($I113,'AnmeldeVSS-Attribute'!$A$2:$H$16,7,FALSE)</f>
        <v>#N/A</v>
      </c>
      <c r="AC113" s="42" t="e">
        <f>IF(I113="Geldbetrag",J113,(IF(T113="",VLOOKUP($I113,'AnmeldeVSS-Attribute'!$A$2:$H$16,8,FALSE),T113)))</f>
        <v>#N/A</v>
      </c>
      <c r="AD113" s="42">
        <f>IF(S113="",0,VLOOKUP(S113,'AnmeldeVSS-Attribute'!$A$20:$B$26,2,FALSE))</f>
        <v>0</v>
      </c>
      <c r="AE113" s="42" t="e">
        <f t="shared" si="7"/>
        <v>#N/A</v>
      </c>
      <c r="AF113" s="42" t="str">
        <f t="shared" si="9"/>
        <v/>
      </c>
      <c r="AG113" s="42" t="str">
        <f t="shared" si="8"/>
        <v/>
      </c>
      <c r="AH113" s="47" t="str">
        <f t="shared" si="10"/>
        <v/>
      </c>
      <c r="AI113" s="47" t="str">
        <f t="shared" si="11"/>
        <v/>
      </c>
      <c r="AJ113" s="42" t="str">
        <f>IF(O113="",(IF(P113="Ansicht","INSERT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B113 &amp;" ,NULL ,'',349,"&amp; VLOOKUP(Q113,'AnmeldeVSS-Attribute'!$A$43:$B$50,2,FALSE)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B113 &amp;" ,"&amp; O113 &amp;" ,"&amp; IF(Q113="ja","'1'",IF(Q113="nein","'0'","'"&amp;Q113&amp;"'")) &amp;","&amp;IF(P113="enthält",349,IF(P113="nicht leer",352,IF(P113="enthält nicht",350,IF(P113="leer",351,0)))) &amp;" ,NULL ,GetDate() ,'scrc' ,GetDate() ,'scrc')")</f>
        <v/>
      </c>
      <c r="AK11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4" spans="1:37" x14ac:dyDescent="0.25">
      <c r="A114" s="66"/>
      <c r="B114" s="66"/>
      <c r="C114" s="64"/>
      <c r="D114" s="64"/>
      <c r="E114" s="63"/>
      <c r="F114" s="64"/>
      <c r="G114" s="64"/>
      <c r="H114" s="64"/>
      <c r="I114" s="64"/>
      <c r="J114" s="64"/>
      <c r="K114" s="64"/>
      <c r="L114" s="64"/>
      <c r="M114" s="63"/>
      <c r="N114" s="63"/>
      <c r="O114" s="63"/>
      <c r="P114" s="63"/>
      <c r="Q114" s="64"/>
      <c r="R114" s="63"/>
      <c r="S114" s="63"/>
      <c r="T114" s="69"/>
      <c r="U114" s="69"/>
      <c r="W114" s="42" t="e">
        <f>VLOOKUP($I114,'AnmeldeVSS-Attribute'!$A$2:$H$16,2,FALSE)</f>
        <v>#N/A</v>
      </c>
      <c r="X114" s="42" t="e">
        <f>VLOOKUP($I114,'AnmeldeVSS-Attribute'!$A$2:$H$16,3,FALSE)</f>
        <v>#N/A</v>
      </c>
      <c r="Y114" s="42" t="e">
        <f>VLOOKUP($I114,'AnmeldeVSS-Attribute'!$A$2:$H$16,4,FALSE)</f>
        <v>#N/A</v>
      </c>
      <c r="Z114" s="42" t="e">
        <f>VLOOKUP($I114,'AnmeldeVSS-Attribute'!$A$2:$H$16,5,FALSE)</f>
        <v>#N/A</v>
      </c>
      <c r="AA114" s="42" t="e">
        <f>VLOOKUP($I114,'AnmeldeVSS-Attribute'!$A$2:$H$16,6,FALSE)</f>
        <v>#N/A</v>
      </c>
      <c r="AB114" s="42" t="e">
        <f>VLOOKUP($I114,'AnmeldeVSS-Attribute'!$A$2:$H$16,7,FALSE)</f>
        <v>#N/A</v>
      </c>
      <c r="AC114" s="42" t="e">
        <f>IF(I114="Geldbetrag",J114,(IF(T114="",VLOOKUP($I114,'AnmeldeVSS-Attribute'!$A$2:$H$16,8,FALSE),T114)))</f>
        <v>#N/A</v>
      </c>
      <c r="AD114" s="42">
        <f>IF(S114="",0,VLOOKUP(S114,'AnmeldeVSS-Attribute'!$A$20:$B$26,2,FALSE))</f>
        <v>0</v>
      </c>
      <c r="AE114" s="42" t="e">
        <f t="shared" si="7"/>
        <v>#N/A</v>
      </c>
      <c r="AF114" s="42" t="str">
        <f t="shared" si="9"/>
        <v/>
      </c>
      <c r="AG114" s="42" t="str">
        <f t="shared" si="8"/>
        <v/>
      </c>
      <c r="AH114" s="47" t="str">
        <f t="shared" si="10"/>
        <v/>
      </c>
      <c r="AI114" s="47" t="str">
        <f t="shared" si="11"/>
        <v/>
      </c>
      <c r="AJ114" s="42" t="str">
        <f>IF(O114="",(IF(P114="Ansicht","INSERT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B114 &amp;" ,NULL ,'',349,"&amp; VLOOKUP(Q114,'AnmeldeVSS-Attribute'!$A$43:$B$50,2,FALSE)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B114 &amp;" ,"&amp; O114 &amp;" ,"&amp; IF(Q114="ja","'1'",IF(Q114="nein","'0'","'"&amp;Q114&amp;"'")) &amp;","&amp;IF(P114="enthält",349,IF(P114="nicht leer",352,IF(P114="enthält nicht",350,IF(P114="leer",351,0)))) &amp;" ,NULL ,GetDate() ,'scrc' ,GetDate() ,'scrc')")</f>
        <v/>
      </c>
      <c r="AK11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5" spans="1:37" x14ac:dyDescent="0.25">
      <c r="A115" s="66"/>
      <c r="B115" s="66"/>
      <c r="C115" s="64"/>
      <c r="D115" s="64"/>
      <c r="E115" s="63"/>
      <c r="F115" s="64"/>
      <c r="G115" s="64"/>
      <c r="H115" s="64"/>
      <c r="I115" s="64"/>
      <c r="J115" s="64"/>
      <c r="K115" s="64"/>
      <c r="L115" s="64"/>
      <c r="M115" s="63"/>
      <c r="N115" s="63"/>
      <c r="O115" s="63"/>
      <c r="P115" s="63"/>
      <c r="Q115" s="64"/>
      <c r="R115" s="63"/>
      <c r="S115" s="63"/>
      <c r="T115" s="65"/>
      <c r="U115" s="65"/>
      <c r="W115" s="42" t="e">
        <f>VLOOKUP($I115,'AnmeldeVSS-Attribute'!$A$2:$H$16,2,FALSE)</f>
        <v>#N/A</v>
      </c>
      <c r="X115" s="42" t="e">
        <f>VLOOKUP($I115,'AnmeldeVSS-Attribute'!$A$2:$H$16,3,FALSE)</f>
        <v>#N/A</v>
      </c>
      <c r="Y115" s="42" t="e">
        <f>VLOOKUP($I115,'AnmeldeVSS-Attribute'!$A$2:$H$16,4,FALSE)</f>
        <v>#N/A</v>
      </c>
      <c r="Z115" s="42" t="e">
        <f>VLOOKUP($I115,'AnmeldeVSS-Attribute'!$A$2:$H$16,5,FALSE)</f>
        <v>#N/A</v>
      </c>
      <c r="AA115" s="42" t="e">
        <f>VLOOKUP($I115,'AnmeldeVSS-Attribute'!$A$2:$H$16,6,FALSE)</f>
        <v>#N/A</v>
      </c>
      <c r="AB115" s="42" t="e">
        <f>VLOOKUP($I115,'AnmeldeVSS-Attribute'!$A$2:$H$16,7,FALSE)</f>
        <v>#N/A</v>
      </c>
      <c r="AC115" s="42" t="e">
        <f>IF(I115="Geldbetrag",J115,(IF(T115="",VLOOKUP($I115,'AnmeldeVSS-Attribute'!$A$2:$H$16,8,FALSE),T115)))</f>
        <v>#N/A</v>
      </c>
      <c r="AD115" s="42">
        <f>IF(S115="",0,VLOOKUP(S115,'AnmeldeVSS-Attribute'!$A$20:$B$26,2,FALSE))</f>
        <v>0</v>
      </c>
      <c r="AE115" s="42" t="e">
        <f t="shared" si="7"/>
        <v>#N/A</v>
      </c>
      <c r="AF115" s="42" t="str">
        <f t="shared" si="9"/>
        <v/>
      </c>
      <c r="AG115" s="42" t="str">
        <f t="shared" si="8"/>
        <v/>
      </c>
      <c r="AH115" s="47" t="str">
        <f t="shared" si="10"/>
        <v/>
      </c>
      <c r="AI115" s="47" t="str">
        <f t="shared" si="11"/>
        <v/>
      </c>
      <c r="AJ115" s="42" t="str">
        <f>IF(O115="",(IF(P115="Ansicht","INSERT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B115 &amp;" ,NULL ,'',349,"&amp; VLOOKUP(Q115,'AnmeldeVSS-Attribute'!$A$43:$B$50,2,FALSE)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B115 &amp;" ,"&amp; O115 &amp;" ,"&amp; IF(Q115="ja","'1'",IF(Q115="nein","'0'","'"&amp;Q115&amp;"'")) &amp;","&amp;IF(P115="enthält",349,IF(P115="nicht leer",352,IF(P115="enthält nicht",350,IF(P115="leer",351,0)))) &amp;" ,NULL ,GetDate() ,'scrc' ,GetDate() ,'scrc')")</f>
        <v/>
      </c>
      <c r="AK11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6" spans="1:37" x14ac:dyDescent="0.25">
      <c r="A116" s="66"/>
      <c r="B116" s="66"/>
      <c r="C116" s="64"/>
      <c r="D116" s="64"/>
      <c r="E116" s="63"/>
      <c r="F116" s="64"/>
      <c r="G116" s="64"/>
      <c r="H116" s="64"/>
      <c r="I116" s="64"/>
      <c r="J116" s="64"/>
      <c r="K116" s="64"/>
      <c r="L116" s="64"/>
      <c r="M116" s="63"/>
      <c r="N116" s="63"/>
      <c r="O116" s="63"/>
      <c r="P116" s="63"/>
      <c r="Q116" s="64"/>
      <c r="R116" s="63"/>
      <c r="S116" s="63"/>
      <c r="T116" s="65"/>
      <c r="U116" s="65"/>
      <c r="W116" s="42" t="e">
        <f>VLOOKUP($I116,'AnmeldeVSS-Attribute'!$A$2:$H$16,2,FALSE)</f>
        <v>#N/A</v>
      </c>
      <c r="X116" s="42" t="e">
        <f>VLOOKUP($I116,'AnmeldeVSS-Attribute'!$A$2:$H$16,3,FALSE)</f>
        <v>#N/A</v>
      </c>
      <c r="Y116" s="42" t="e">
        <f>VLOOKUP($I116,'AnmeldeVSS-Attribute'!$A$2:$H$16,4,FALSE)</f>
        <v>#N/A</v>
      </c>
      <c r="Z116" s="42" t="e">
        <f>VLOOKUP($I116,'AnmeldeVSS-Attribute'!$A$2:$H$16,5,FALSE)</f>
        <v>#N/A</v>
      </c>
      <c r="AA116" s="42" t="e">
        <f>VLOOKUP($I116,'AnmeldeVSS-Attribute'!$A$2:$H$16,6,FALSE)</f>
        <v>#N/A</v>
      </c>
      <c r="AB116" s="42" t="e">
        <f>VLOOKUP($I116,'AnmeldeVSS-Attribute'!$A$2:$H$16,7,FALSE)</f>
        <v>#N/A</v>
      </c>
      <c r="AC116" s="42" t="e">
        <f>IF(I116="Geldbetrag",J116,(IF(T116="",VLOOKUP($I116,'AnmeldeVSS-Attribute'!$A$2:$H$16,8,FALSE),T116)))</f>
        <v>#N/A</v>
      </c>
      <c r="AD116" s="42">
        <f>IF(S116="",0,VLOOKUP(S116,'AnmeldeVSS-Attribute'!$A$20:$B$26,2,FALSE))</f>
        <v>0</v>
      </c>
      <c r="AE116" s="42" t="e">
        <f t="shared" si="7"/>
        <v>#N/A</v>
      </c>
      <c r="AF116" s="42" t="str">
        <f t="shared" si="9"/>
        <v/>
      </c>
      <c r="AG116" s="42" t="str">
        <f t="shared" si="8"/>
        <v/>
      </c>
      <c r="AH116" s="47" t="str">
        <f t="shared" si="10"/>
        <v/>
      </c>
      <c r="AI116" s="47" t="str">
        <f t="shared" si="11"/>
        <v/>
      </c>
      <c r="AJ116" s="42" t="str">
        <f>IF(O116="",(IF(P116="Ansicht","INSERT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B116 &amp;" ,NULL ,'',349,"&amp; VLOOKUP(Q116,'AnmeldeVSS-Attribute'!$A$43:$B$50,2,FALSE)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B116 &amp;" ,"&amp; O116 &amp;" ,"&amp; IF(Q116="ja","'1'",IF(Q116="nein","'0'","'"&amp;Q116&amp;"'")) &amp;","&amp;IF(P116="enthält",349,IF(P116="nicht leer",352,IF(P116="enthält nicht",350,IF(P116="leer",351,0)))) &amp;" ,NULL ,GetDate() ,'scrc' ,GetDate() ,'scrc')")</f>
        <v/>
      </c>
      <c r="AK11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7" spans="1:37" x14ac:dyDescent="0.25">
      <c r="A117" s="66"/>
      <c r="B117" s="66"/>
      <c r="C117" s="64"/>
      <c r="D117" s="64"/>
      <c r="E117" s="63"/>
      <c r="F117" s="64"/>
      <c r="G117" s="64"/>
      <c r="H117" s="64"/>
      <c r="I117" s="64"/>
      <c r="J117" s="64"/>
      <c r="K117" s="64"/>
      <c r="L117" s="64"/>
      <c r="M117" s="63"/>
      <c r="N117" s="63"/>
      <c r="O117" s="63"/>
      <c r="P117" s="63"/>
      <c r="Q117" s="64"/>
      <c r="R117" s="63"/>
      <c r="S117" s="63"/>
      <c r="T117" s="65"/>
      <c r="U117" s="65"/>
      <c r="W117" s="42" t="e">
        <f>VLOOKUP($I117,'AnmeldeVSS-Attribute'!$A$2:$H$16,2,FALSE)</f>
        <v>#N/A</v>
      </c>
      <c r="X117" s="42" t="e">
        <f>VLOOKUP($I117,'AnmeldeVSS-Attribute'!$A$2:$H$16,3,FALSE)</f>
        <v>#N/A</v>
      </c>
      <c r="Y117" s="42" t="e">
        <f>VLOOKUP($I117,'AnmeldeVSS-Attribute'!$A$2:$H$16,4,FALSE)</f>
        <v>#N/A</v>
      </c>
      <c r="Z117" s="42" t="e">
        <f>VLOOKUP($I117,'AnmeldeVSS-Attribute'!$A$2:$H$16,5,FALSE)</f>
        <v>#N/A</v>
      </c>
      <c r="AA117" s="42" t="e">
        <f>VLOOKUP($I117,'AnmeldeVSS-Attribute'!$A$2:$H$16,6,FALSE)</f>
        <v>#N/A</v>
      </c>
      <c r="AB117" s="42" t="e">
        <f>VLOOKUP($I117,'AnmeldeVSS-Attribute'!$A$2:$H$16,7,FALSE)</f>
        <v>#N/A</v>
      </c>
      <c r="AC117" s="42" t="e">
        <f>IF(I117="Geldbetrag",J117,(IF(T117="",VLOOKUP($I117,'AnmeldeVSS-Attribute'!$A$2:$H$16,8,FALSE),T117)))</f>
        <v>#N/A</v>
      </c>
      <c r="AD117" s="42">
        <f>IF(S117="",0,VLOOKUP(S117,'AnmeldeVSS-Attribute'!$A$20:$B$26,2,FALSE))</f>
        <v>0</v>
      </c>
      <c r="AE117" s="42" t="e">
        <f t="shared" si="7"/>
        <v>#N/A</v>
      </c>
      <c r="AF117" s="42" t="str">
        <f t="shared" si="9"/>
        <v/>
      </c>
      <c r="AG117" s="42" t="str">
        <f t="shared" si="8"/>
        <v/>
      </c>
      <c r="AH117" s="47" t="str">
        <f t="shared" si="10"/>
        <v/>
      </c>
      <c r="AI117" s="47" t="str">
        <f t="shared" si="11"/>
        <v/>
      </c>
      <c r="AJ117" s="42" t="str">
        <f>IF(O117="",(IF(P117="Ansicht","INSERT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B117 &amp;" ,NULL ,'',349,"&amp; VLOOKUP(Q117,'AnmeldeVSS-Attribute'!$A$43:$B$50,2,FALSE)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B117 &amp;" ,"&amp; O117 &amp;" ,"&amp; IF(Q117="ja","'1'",IF(Q117="nein","'0'","'"&amp;Q117&amp;"'")) &amp;","&amp;IF(P117="enthält",349,IF(P117="nicht leer",352,IF(P117="enthält nicht",350,IF(P117="leer",351,0)))) &amp;" ,NULL ,GetDate() ,'scrc' ,GetDate() ,'scrc')")</f>
        <v/>
      </c>
      <c r="AK11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8" spans="1:37" x14ac:dyDescent="0.25">
      <c r="A118" s="66"/>
      <c r="B118" s="66"/>
      <c r="C118" s="64"/>
      <c r="D118" s="64"/>
      <c r="E118" s="63"/>
      <c r="F118" s="64"/>
      <c r="G118" s="64"/>
      <c r="H118" s="64"/>
      <c r="I118" s="64"/>
      <c r="J118" s="64"/>
      <c r="K118" s="64"/>
      <c r="L118" s="64"/>
      <c r="M118" s="63"/>
      <c r="N118" s="63"/>
      <c r="O118" s="63"/>
      <c r="P118" s="63"/>
      <c r="Q118" s="64"/>
      <c r="R118" s="63"/>
      <c r="S118" s="63"/>
      <c r="T118" s="65"/>
      <c r="U118" s="65"/>
      <c r="W118" s="42" t="e">
        <f>VLOOKUP($I118,'AnmeldeVSS-Attribute'!$A$2:$H$16,2,FALSE)</f>
        <v>#N/A</v>
      </c>
      <c r="X118" s="42" t="e">
        <f>VLOOKUP($I118,'AnmeldeVSS-Attribute'!$A$2:$H$16,3,FALSE)</f>
        <v>#N/A</v>
      </c>
      <c r="Y118" s="42" t="e">
        <f>VLOOKUP($I118,'AnmeldeVSS-Attribute'!$A$2:$H$16,4,FALSE)</f>
        <v>#N/A</v>
      </c>
      <c r="Z118" s="42" t="e">
        <f>VLOOKUP($I118,'AnmeldeVSS-Attribute'!$A$2:$H$16,5,FALSE)</f>
        <v>#N/A</v>
      </c>
      <c r="AA118" s="42" t="e">
        <f>VLOOKUP($I118,'AnmeldeVSS-Attribute'!$A$2:$H$16,6,FALSE)</f>
        <v>#N/A</v>
      </c>
      <c r="AB118" s="42" t="e">
        <f>VLOOKUP($I118,'AnmeldeVSS-Attribute'!$A$2:$H$16,7,FALSE)</f>
        <v>#N/A</v>
      </c>
      <c r="AC118" s="42" t="e">
        <f>IF(I118="Geldbetrag",J118,(IF(T118="",VLOOKUP($I118,'AnmeldeVSS-Attribute'!$A$2:$H$16,8,FALSE),T118)))</f>
        <v>#N/A</v>
      </c>
      <c r="AD118" s="42">
        <f>IF(S118="",0,VLOOKUP(S118,'AnmeldeVSS-Attribute'!$A$20:$B$26,2,FALSE))</f>
        <v>0</v>
      </c>
      <c r="AE118" s="42" t="e">
        <f t="shared" si="7"/>
        <v>#N/A</v>
      </c>
      <c r="AF118" s="42" t="str">
        <f t="shared" si="9"/>
        <v/>
      </c>
      <c r="AG118" s="42" t="str">
        <f t="shared" si="8"/>
        <v/>
      </c>
      <c r="AH118" s="47" t="str">
        <f t="shared" si="10"/>
        <v/>
      </c>
      <c r="AI118" s="47" t="str">
        <f t="shared" si="11"/>
        <v/>
      </c>
      <c r="AJ118" s="42" t="str">
        <f>IF(O118="",(IF(P118="Ansicht","INSERT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B118 &amp;" ,NULL ,'',349,"&amp; VLOOKUP(Q118,'AnmeldeVSS-Attribute'!$A$43:$B$50,2,FALSE)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B118 &amp;" ,"&amp; O118 &amp;" ,"&amp; IF(Q118="ja","'1'",IF(Q118="nein","'0'","'"&amp;Q118&amp;"'")) &amp;","&amp;IF(P118="enthält",349,IF(P118="nicht leer",352,IF(P118="enthält nicht",350,IF(P118="leer",351,0)))) &amp;" ,NULL ,GetDate() ,'scrc' ,GetDate() ,'scrc')")</f>
        <v/>
      </c>
      <c r="AK11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19" spans="1:37" x14ac:dyDescent="0.25">
      <c r="A119" s="66"/>
      <c r="B119" s="66"/>
      <c r="C119" s="64"/>
      <c r="D119" s="64"/>
      <c r="E119" s="63"/>
      <c r="F119" s="64"/>
      <c r="G119" s="64"/>
      <c r="H119" s="64"/>
      <c r="I119" s="64"/>
      <c r="J119" s="64"/>
      <c r="K119" s="64"/>
      <c r="L119" s="64"/>
      <c r="M119" s="63"/>
      <c r="N119" s="63"/>
      <c r="O119" s="63"/>
      <c r="P119" s="63"/>
      <c r="Q119" s="64"/>
      <c r="R119" s="63"/>
      <c r="S119" s="63"/>
      <c r="T119" s="65"/>
      <c r="U119" s="65"/>
      <c r="W119" s="42" t="e">
        <f>VLOOKUP($I119,'AnmeldeVSS-Attribute'!$A$2:$H$16,2,FALSE)</f>
        <v>#N/A</v>
      </c>
      <c r="X119" s="42" t="e">
        <f>VLOOKUP($I119,'AnmeldeVSS-Attribute'!$A$2:$H$16,3,FALSE)</f>
        <v>#N/A</v>
      </c>
      <c r="Y119" s="42" t="e">
        <f>VLOOKUP($I119,'AnmeldeVSS-Attribute'!$A$2:$H$16,4,FALSE)</f>
        <v>#N/A</v>
      </c>
      <c r="Z119" s="42" t="e">
        <f>VLOOKUP($I119,'AnmeldeVSS-Attribute'!$A$2:$H$16,5,FALSE)</f>
        <v>#N/A</v>
      </c>
      <c r="AA119" s="42" t="e">
        <f>VLOOKUP($I119,'AnmeldeVSS-Attribute'!$A$2:$H$16,6,FALSE)</f>
        <v>#N/A</v>
      </c>
      <c r="AB119" s="42" t="e">
        <f>VLOOKUP($I119,'AnmeldeVSS-Attribute'!$A$2:$H$16,7,FALSE)</f>
        <v>#N/A</v>
      </c>
      <c r="AC119" s="42" t="e">
        <f>IF(I119="Geldbetrag",J119,(IF(T119="",VLOOKUP($I119,'AnmeldeVSS-Attribute'!$A$2:$H$16,8,FALSE),T119)))</f>
        <v>#N/A</v>
      </c>
      <c r="AD119" s="42">
        <f>IF(S119="",0,VLOOKUP(S119,'AnmeldeVSS-Attribute'!$A$20:$B$26,2,FALSE))</f>
        <v>0</v>
      </c>
      <c r="AE119" s="42" t="e">
        <f t="shared" si="7"/>
        <v>#N/A</v>
      </c>
      <c r="AF119" s="42" t="str">
        <f t="shared" si="9"/>
        <v/>
      </c>
      <c r="AG119" s="42" t="str">
        <f t="shared" si="8"/>
        <v/>
      </c>
      <c r="AH119" s="47" t="str">
        <f t="shared" si="10"/>
        <v/>
      </c>
      <c r="AI119" s="47" t="str">
        <f t="shared" si="11"/>
        <v/>
      </c>
      <c r="AJ119" s="42" t="str">
        <f>IF(O119="",(IF(P119="Ansicht","INSERT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B119 &amp;" ,NULL ,'',349,"&amp; VLOOKUP(Q119,'AnmeldeVSS-Attribute'!$A$43:$B$50,2,FALSE)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B119 &amp;" ,"&amp; O119 &amp;" ,"&amp; IF(Q119="ja","'1'",IF(Q119="nein","'0'","'"&amp;Q119&amp;"'")) &amp;","&amp;IF(P119="enthält",349,IF(P119="nicht leer",352,IF(P119="enthält nicht",350,IF(P119="leer",351,0)))) &amp;" ,NULL ,GetDate() ,'scrc' ,GetDate() ,'scrc')")</f>
        <v/>
      </c>
      <c r="AK11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0" spans="1:37" x14ac:dyDescent="0.25">
      <c r="A120" s="66"/>
      <c r="B120" s="66"/>
      <c r="C120" s="64"/>
      <c r="D120" s="64"/>
      <c r="E120" s="63"/>
      <c r="F120" s="64"/>
      <c r="G120" s="64"/>
      <c r="H120" s="64"/>
      <c r="I120" s="64"/>
      <c r="J120" s="64"/>
      <c r="K120" s="64"/>
      <c r="L120" s="64"/>
      <c r="M120" s="63"/>
      <c r="N120" s="63"/>
      <c r="O120" s="63"/>
      <c r="P120" s="63"/>
      <c r="Q120" s="64"/>
      <c r="R120" s="63"/>
      <c r="S120" s="63"/>
      <c r="T120" s="65"/>
      <c r="U120" s="65"/>
      <c r="W120" s="42" t="e">
        <f>VLOOKUP($I120,'AnmeldeVSS-Attribute'!$A$2:$H$16,2,FALSE)</f>
        <v>#N/A</v>
      </c>
      <c r="X120" s="42" t="e">
        <f>VLOOKUP($I120,'AnmeldeVSS-Attribute'!$A$2:$H$16,3,FALSE)</f>
        <v>#N/A</v>
      </c>
      <c r="Y120" s="42" t="e">
        <f>VLOOKUP($I120,'AnmeldeVSS-Attribute'!$A$2:$H$16,4,FALSE)</f>
        <v>#N/A</v>
      </c>
      <c r="Z120" s="42" t="e">
        <f>VLOOKUP($I120,'AnmeldeVSS-Attribute'!$A$2:$H$16,5,FALSE)</f>
        <v>#N/A</v>
      </c>
      <c r="AA120" s="42" t="e">
        <f>VLOOKUP($I120,'AnmeldeVSS-Attribute'!$A$2:$H$16,6,FALSE)</f>
        <v>#N/A</v>
      </c>
      <c r="AB120" s="42" t="e">
        <f>VLOOKUP($I120,'AnmeldeVSS-Attribute'!$A$2:$H$16,7,FALSE)</f>
        <v>#N/A</v>
      </c>
      <c r="AC120" s="42" t="e">
        <f>IF(I120="Geldbetrag",J120,(IF(T120="",VLOOKUP($I120,'AnmeldeVSS-Attribute'!$A$2:$H$16,8,FALSE),T120)))</f>
        <v>#N/A</v>
      </c>
      <c r="AD120" s="42">
        <f>IF(S120="",0,VLOOKUP(S120,'AnmeldeVSS-Attribute'!$A$20:$B$26,2,FALSE))</f>
        <v>0</v>
      </c>
      <c r="AE120" s="42" t="e">
        <f t="shared" si="7"/>
        <v>#N/A</v>
      </c>
      <c r="AF120" s="42" t="str">
        <f t="shared" si="9"/>
        <v/>
      </c>
      <c r="AG120" s="42" t="str">
        <f t="shared" si="8"/>
        <v/>
      </c>
      <c r="AH120" s="47" t="str">
        <f t="shared" si="10"/>
        <v/>
      </c>
      <c r="AI120" s="47" t="str">
        <f t="shared" si="11"/>
        <v/>
      </c>
      <c r="AJ120" s="42" t="str">
        <f>IF(O120="",(IF(P120="Ansicht","INSERT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B120 &amp;" ,NULL ,'',349,"&amp; VLOOKUP(Q120,'AnmeldeVSS-Attribute'!$A$43:$B$50,2,FALSE)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B120 &amp;" ,"&amp; O120 &amp;" ,"&amp; IF(Q120="ja","'1'",IF(Q120="nein","'0'","'"&amp;Q120&amp;"'")) &amp;","&amp;IF(P120="enthält",349,IF(P120="nicht leer",352,IF(P120="enthält nicht",350,IF(P120="leer",351,0)))) &amp;" ,NULL ,GetDate() ,'scrc' ,GetDate() ,'scrc')")</f>
        <v/>
      </c>
      <c r="AK12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1" spans="1:37" x14ac:dyDescent="0.25">
      <c r="A121" s="71"/>
      <c r="B121" s="71"/>
      <c r="C121" s="71"/>
      <c r="D121" s="71"/>
      <c r="E121" s="66"/>
      <c r="F121" s="71"/>
      <c r="G121" s="71"/>
      <c r="H121" s="71"/>
      <c r="I121" s="71"/>
      <c r="J121" s="71"/>
      <c r="K121" s="71"/>
      <c r="L121" s="71"/>
      <c r="M121" s="70"/>
      <c r="N121" s="70"/>
      <c r="O121" s="70"/>
      <c r="P121" s="70"/>
      <c r="Q121" s="71"/>
      <c r="R121" s="70"/>
      <c r="S121" s="70"/>
      <c r="T121" s="65"/>
      <c r="U121" s="65"/>
      <c r="W121" s="42" t="e">
        <f>VLOOKUP($I121,'AnmeldeVSS-Attribute'!$A$2:$H$16,2,FALSE)</f>
        <v>#N/A</v>
      </c>
      <c r="X121" s="42" t="e">
        <f>VLOOKUP($I121,'AnmeldeVSS-Attribute'!$A$2:$H$16,3,FALSE)</f>
        <v>#N/A</v>
      </c>
      <c r="Y121" s="42" t="e">
        <f>VLOOKUP($I121,'AnmeldeVSS-Attribute'!$A$2:$H$16,4,FALSE)</f>
        <v>#N/A</v>
      </c>
      <c r="Z121" s="42" t="e">
        <f>VLOOKUP($I121,'AnmeldeVSS-Attribute'!$A$2:$H$16,5,FALSE)</f>
        <v>#N/A</v>
      </c>
      <c r="AA121" s="42" t="e">
        <f>VLOOKUP($I121,'AnmeldeVSS-Attribute'!$A$2:$H$16,6,FALSE)</f>
        <v>#N/A</v>
      </c>
      <c r="AB121" s="42" t="e">
        <f>VLOOKUP($I121,'AnmeldeVSS-Attribute'!$A$2:$H$16,7,FALSE)</f>
        <v>#N/A</v>
      </c>
      <c r="AC121" s="42" t="e">
        <f>IF(I121="Geldbetrag",J121,(IF(T121="",VLOOKUP($I121,'AnmeldeVSS-Attribute'!$A$2:$H$16,8,FALSE),T121)))</f>
        <v>#N/A</v>
      </c>
      <c r="AD121" s="42">
        <f>IF(S121="",0,VLOOKUP(S121,'AnmeldeVSS-Attribute'!$A$20:$B$26,2,FALSE))</f>
        <v>0</v>
      </c>
      <c r="AE121" s="42" t="e">
        <f t="shared" si="7"/>
        <v>#N/A</v>
      </c>
      <c r="AF121" s="42" t="str">
        <f t="shared" si="9"/>
        <v/>
      </c>
      <c r="AG121" s="42" t="str">
        <f t="shared" si="8"/>
        <v/>
      </c>
      <c r="AH121" s="47" t="str">
        <f t="shared" si="10"/>
        <v/>
      </c>
      <c r="AI121" s="47" t="str">
        <f t="shared" si="11"/>
        <v/>
      </c>
      <c r="AJ121" s="42" t="str">
        <f>IF(O121="",(IF(P121="Ansicht","INSERT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B121 &amp;" ,NULL ,'',349,"&amp; VLOOKUP(Q121,'AnmeldeVSS-Attribute'!$A$43:$B$50,2,FALSE)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B121 &amp;" ,"&amp; O121 &amp;" ,"&amp; IF(Q121="ja","'1'",IF(Q121="nein","'0'","'"&amp;Q121&amp;"'")) &amp;","&amp;IF(P121="enthält",349,IF(P121="nicht leer",352,IF(P121="enthält nicht",350,IF(P121="leer",351,0)))) &amp;" ,NULL ,GetDate() ,'scrc' ,GetDate() ,'scrc')")</f>
        <v/>
      </c>
      <c r="AK121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2" spans="1:37" x14ac:dyDescent="0.25">
      <c r="A122" s="68"/>
      <c r="B122" s="68"/>
      <c r="C122" s="68"/>
      <c r="D122" s="68"/>
      <c r="E122" s="66"/>
      <c r="F122" s="68"/>
      <c r="G122" s="68"/>
      <c r="H122" s="68"/>
      <c r="I122" s="68"/>
      <c r="J122" s="68"/>
      <c r="K122" s="68"/>
      <c r="L122" s="68"/>
      <c r="M122" s="66"/>
      <c r="N122" s="66"/>
      <c r="O122" s="66"/>
      <c r="P122" s="66"/>
      <c r="Q122" s="68"/>
      <c r="R122" s="66"/>
      <c r="S122" s="66"/>
      <c r="T122" s="65"/>
      <c r="U122" s="65"/>
      <c r="W122" s="42" t="e">
        <f>VLOOKUP($I122,'AnmeldeVSS-Attribute'!$A$2:$H$16,2,FALSE)</f>
        <v>#N/A</v>
      </c>
      <c r="X122" s="42" t="e">
        <f>VLOOKUP($I122,'AnmeldeVSS-Attribute'!$A$2:$H$16,3,FALSE)</f>
        <v>#N/A</v>
      </c>
      <c r="Y122" s="42" t="e">
        <f>VLOOKUP($I122,'AnmeldeVSS-Attribute'!$A$2:$H$16,4,FALSE)</f>
        <v>#N/A</v>
      </c>
      <c r="Z122" s="42" t="e">
        <f>VLOOKUP($I122,'AnmeldeVSS-Attribute'!$A$2:$H$16,5,FALSE)</f>
        <v>#N/A</v>
      </c>
      <c r="AA122" s="42" t="e">
        <f>VLOOKUP($I122,'AnmeldeVSS-Attribute'!$A$2:$H$16,6,FALSE)</f>
        <v>#N/A</v>
      </c>
      <c r="AB122" s="42" t="e">
        <f>VLOOKUP($I122,'AnmeldeVSS-Attribute'!$A$2:$H$16,7,FALSE)</f>
        <v>#N/A</v>
      </c>
      <c r="AC122" s="42" t="e">
        <f>IF(I122="Geldbetrag",J122,(IF(T122="",VLOOKUP($I122,'AnmeldeVSS-Attribute'!$A$2:$H$16,8,FALSE),T122)))</f>
        <v>#N/A</v>
      </c>
      <c r="AD122" s="42">
        <f>IF(S122="",0,VLOOKUP(S122,'AnmeldeVSS-Attribute'!$A$20:$B$26,2,FALSE))</f>
        <v>0</v>
      </c>
      <c r="AE122" s="42" t="e">
        <f t="shared" si="7"/>
        <v>#N/A</v>
      </c>
      <c r="AF122" s="42" t="str">
        <f t="shared" si="9"/>
        <v/>
      </c>
      <c r="AG122" s="42" t="str">
        <f t="shared" si="8"/>
        <v/>
      </c>
      <c r="AH122" s="47" t="str">
        <f t="shared" si="10"/>
        <v/>
      </c>
      <c r="AI122" s="47" t="str">
        <f t="shared" si="11"/>
        <v/>
      </c>
      <c r="AJ122" s="42" t="str">
        <f>IF(O122="",(IF(P122="Ansicht","INSERT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B122 &amp;" ,NULL ,'',349,"&amp; VLOOKUP(Q122,'AnmeldeVSS-Attribute'!$A$43:$B$50,2,FALSE)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B122 &amp;" ,"&amp; O122 &amp;" ,"&amp; IF(Q122="ja","'1'",IF(Q122="nein","'0'","'"&amp;Q122&amp;"'")) &amp;","&amp;IF(P122="enthält",349,IF(P122="nicht leer",352,IF(P122="enthält nicht",350,IF(P122="leer",351,0)))) &amp;" ,NULL ,GetDate() ,'scrc' ,GetDate() ,'scrc')")</f>
        <v/>
      </c>
      <c r="AK12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3" spans="1:37" x14ac:dyDescent="0.25">
      <c r="A123" s="68"/>
      <c r="B123" s="68"/>
      <c r="C123" s="68"/>
      <c r="D123" s="68"/>
      <c r="E123" s="66"/>
      <c r="F123" s="68"/>
      <c r="G123" s="68"/>
      <c r="H123" s="68"/>
      <c r="I123" s="68"/>
      <c r="J123" s="68"/>
      <c r="K123" s="68"/>
      <c r="L123" s="68"/>
      <c r="M123" s="66"/>
      <c r="N123" s="66"/>
      <c r="O123" s="66"/>
      <c r="P123" s="66"/>
      <c r="Q123" s="68"/>
      <c r="R123" s="66"/>
      <c r="S123" s="66"/>
      <c r="T123" s="65"/>
      <c r="U123" s="65"/>
      <c r="W123" s="42" t="e">
        <f>VLOOKUP($I123,'AnmeldeVSS-Attribute'!$A$2:$H$16,2,FALSE)</f>
        <v>#N/A</v>
      </c>
      <c r="X123" s="42" t="e">
        <f>VLOOKUP($I123,'AnmeldeVSS-Attribute'!$A$2:$H$16,3,FALSE)</f>
        <v>#N/A</v>
      </c>
      <c r="Y123" s="42" t="e">
        <f>VLOOKUP($I123,'AnmeldeVSS-Attribute'!$A$2:$H$16,4,FALSE)</f>
        <v>#N/A</v>
      </c>
      <c r="Z123" s="42" t="e">
        <f>VLOOKUP($I123,'AnmeldeVSS-Attribute'!$A$2:$H$16,5,FALSE)</f>
        <v>#N/A</v>
      </c>
      <c r="AA123" s="42" t="e">
        <f>VLOOKUP($I123,'AnmeldeVSS-Attribute'!$A$2:$H$16,6,FALSE)</f>
        <v>#N/A</v>
      </c>
      <c r="AB123" s="42" t="e">
        <f>VLOOKUP($I123,'AnmeldeVSS-Attribute'!$A$2:$H$16,7,FALSE)</f>
        <v>#N/A</v>
      </c>
      <c r="AC123" s="42" t="e">
        <f>IF(I123="Geldbetrag",J123,(IF(T123="",VLOOKUP($I123,'AnmeldeVSS-Attribute'!$A$2:$H$16,8,FALSE),T123)))</f>
        <v>#N/A</v>
      </c>
      <c r="AD123" s="42">
        <f>IF(S123="",0,VLOOKUP(S123,'AnmeldeVSS-Attribute'!$A$20:$B$26,2,FALSE))</f>
        <v>0</v>
      </c>
      <c r="AE123" s="42" t="e">
        <f t="shared" si="7"/>
        <v>#N/A</v>
      </c>
      <c r="AF123" s="42" t="str">
        <f t="shared" si="9"/>
        <v/>
      </c>
      <c r="AG123" s="42" t="str">
        <f t="shared" si="8"/>
        <v/>
      </c>
      <c r="AH123" s="47" t="str">
        <f t="shared" si="10"/>
        <v/>
      </c>
      <c r="AI123" s="47" t="str">
        <f t="shared" si="11"/>
        <v/>
      </c>
      <c r="AJ123" s="42" t="str">
        <f>IF(O123="",(IF(P123="Ansicht","INSERT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B123 &amp;" ,NULL ,'',349,"&amp; VLOOKUP(Q123,'AnmeldeVSS-Attribute'!$A$43:$B$50,2,FALSE)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B123 &amp;" ,"&amp; O123 &amp;" ,"&amp; IF(Q123="ja","'1'",IF(Q123="nein","'0'","'"&amp;Q123&amp;"'")) &amp;","&amp;IF(P123="enthält",349,IF(P123="nicht leer",352,IF(P123="enthält nicht",350,IF(P123="leer",351,0)))) &amp;" ,NULL ,GetDate() ,'scrc' ,GetDate() ,'scrc')")</f>
        <v/>
      </c>
      <c r="AK12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4" spans="1:37" x14ac:dyDescent="0.25">
      <c r="A124" s="66"/>
      <c r="B124" s="36"/>
      <c r="C124" s="74"/>
      <c r="D124" s="74"/>
      <c r="E124" s="75"/>
      <c r="F124" s="74"/>
      <c r="G124" s="74"/>
      <c r="H124" s="74"/>
      <c r="I124" s="74"/>
      <c r="J124" s="74"/>
      <c r="K124" s="74"/>
      <c r="L124" s="74"/>
      <c r="M124" s="75"/>
      <c r="N124" s="75"/>
      <c r="O124" s="75"/>
      <c r="P124" s="75"/>
      <c r="Q124" s="74"/>
      <c r="R124" s="75"/>
      <c r="S124" s="75"/>
      <c r="T124" s="65"/>
      <c r="U124" s="65"/>
      <c r="W124" s="42" t="e">
        <f>VLOOKUP($I124,'AnmeldeVSS-Attribute'!$A$2:$H$16,2,FALSE)</f>
        <v>#N/A</v>
      </c>
      <c r="X124" s="42" t="e">
        <f>VLOOKUP($I124,'AnmeldeVSS-Attribute'!$A$2:$H$16,3,FALSE)</f>
        <v>#N/A</v>
      </c>
      <c r="Y124" s="42" t="e">
        <f>VLOOKUP($I124,'AnmeldeVSS-Attribute'!$A$2:$H$16,4,FALSE)</f>
        <v>#N/A</v>
      </c>
      <c r="Z124" s="42" t="e">
        <f>VLOOKUP($I124,'AnmeldeVSS-Attribute'!$A$2:$H$16,5,FALSE)</f>
        <v>#N/A</v>
      </c>
      <c r="AA124" s="42" t="e">
        <f>VLOOKUP($I124,'AnmeldeVSS-Attribute'!$A$2:$H$16,6,FALSE)</f>
        <v>#N/A</v>
      </c>
      <c r="AB124" s="42" t="e">
        <f>VLOOKUP($I124,'AnmeldeVSS-Attribute'!$A$2:$H$16,7,FALSE)</f>
        <v>#N/A</v>
      </c>
      <c r="AC124" s="42" t="e">
        <f>IF(I124="Geldbetrag",J124,(IF(T124="",VLOOKUP($I124,'AnmeldeVSS-Attribute'!$A$2:$H$16,8,FALSE),T124)))</f>
        <v>#N/A</v>
      </c>
      <c r="AD124" s="42">
        <f>IF(S124="",0,VLOOKUP(S124,'AnmeldeVSS-Attribute'!$A$20:$B$26,2,FALSE))</f>
        <v>0</v>
      </c>
      <c r="AE124" s="42" t="e">
        <f t="shared" si="7"/>
        <v>#N/A</v>
      </c>
      <c r="AF124" s="42" t="str">
        <f t="shared" si="9"/>
        <v/>
      </c>
      <c r="AG124" s="42" t="str">
        <f t="shared" si="8"/>
        <v/>
      </c>
      <c r="AH124" s="47" t="str">
        <f t="shared" si="10"/>
        <v/>
      </c>
      <c r="AI124" s="47" t="str">
        <f t="shared" si="11"/>
        <v/>
      </c>
      <c r="AJ124" s="42" t="str">
        <f>IF(O124="",(IF(P124="Ansicht","INSERT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B124 &amp;" ,NULL ,'',349,"&amp; VLOOKUP(Q124,'AnmeldeVSS-Attribute'!$A$43:$B$50,2,FALSE)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B124 &amp;" ,"&amp; O124 &amp;" ,"&amp; IF(Q124="ja","'1'",IF(Q124="nein","'0'","'"&amp;Q124&amp;"'")) &amp;","&amp;IF(P124="enthält",349,IF(P124="nicht leer",352,IF(P124="enthält nicht",350,IF(P124="leer",351,0)))) &amp;" ,NULL ,GetDate() ,'scrc' ,GetDate() ,'scrc')")</f>
        <v/>
      </c>
      <c r="AK12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5" spans="1:37" x14ac:dyDescent="0.25">
      <c r="A125" s="66"/>
      <c r="B125" s="66"/>
      <c r="C125" s="64"/>
      <c r="D125" s="64"/>
      <c r="E125" s="63"/>
      <c r="F125" s="64"/>
      <c r="G125" s="64"/>
      <c r="H125" s="64"/>
      <c r="I125" s="64"/>
      <c r="J125" s="64"/>
      <c r="K125" s="64"/>
      <c r="L125" s="64"/>
      <c r="M125" s="63"/>
      <c r="N125" s="63"/>
      <c r="O125" s="63"/>
      <c r="P125" s="63"/>
      <c r="Q125" s="64"/>
      <c r="R125" s="63"/>
      <c r="S125" s="63"/>
      <c r="T125" s="65"/>
      <c r="U125" s="65"/>
      <c r="W125" s="42" t="e">
        <f>VLOOKUP($I125,'AnmeldeVSS-Attribute'!$A$2:$H$16,2,FALSE)</f>
        <v>#N/A</v>
      </c>
      <c r="X125" s="42" t="e">
        <f>VLOOKUP($I125,'AnmeldeVSS-Attribute'!$A$2:$H$16,3,FALSE)</f>
        <v>#N/A</v>
      </c>
      <c r="Y125" s="42" t="e">
        <f>VLOOKUP($I125,'AnmeldeVSS-Attribute'!$A$2:$H$16,4,FALSE)</f>
        <v>#N/A</v>
      </c>
      <c r="Z125" s="42" t="e">
        <f>VLOOKUP($I125,'AnmeldeVSS-Attribute'!$A$2:$H$16,5,FALSE)</f>
        <v>#N/A</v>
      </c>
      <c r="AA125" s="42" t="e">
        <f>VLOOKUP($I125,'AnmeldeVSS-Attribute'!$A$2:$H$16,6,FALSE)</f>
        <v>#N/A</v>
      </c>
      <c r="AB125" s="42" t="e">
        <f>VLOOKUP($I125,'AnmeldeVSS-Attribute'!$A$2:$H$16,7,FALSE)</f>
        <v>#N/A</v>
      </c>
      <c r="AC125" s="42" t="e">
        <f>IF(I125="Geldbetrag",J125,(IF(T125="",VLOOKUP($I125,'AnmeldeVSS-Attribute'!$A$2:$H$16,8,FALSE),T125)))</f>
        <v>#N/A</v>
      </c>
      <c r="AD125" s="42">
        <f>IF(S125="",0,VLOOKUP(S125,'AnmeldeVSS-Attribute'!$A$20:$B$26,2,FALSE))</f>
        <v>0</v>
      </c>
      <c r="AE125" s="42" t="e">
        <f t="shared" si="7"/>
        <v>#N/A</v>
      </c>
      <c r="AF125" s="42" t="str">
        <f t="shared" si="9"/>
        <v/>
      </c>
      <c r="AG125" s="42" t="str">
        <f t="shared" si="8"/>
        <v/>
      </c>
      <c r="AH125" s="47" t="str">
        <f t="shared" si="10"/>
        <v/>
      </c>
      <c r="AI125" s="47" t="str">
        <f t="shared" si="11"/>
        <v/>
      </c>
      <c r="AJ125" s="42" t="str">
        <f>IF(O125="",(IF(P125="Ansicht","INSERT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B125 &amp;" ,NULL ,'',349,"&amp; VLOOKUP(Q125,'AnmeldeVSS-Attribute'!$A$43:$B$50,2,FALSE)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B125 &amp;" ,"&amp; O125 &amp;" ,"&amp; IF(Q125="ja","'1'",IF(Q125="nein","'0'","'"&amp;Q125&amp;"'")) &amp;","&amp;IF(P125="enthält",349,IF(P125="nicht leer",352,IF(P125="enthält nicht",350,IF(P125="leer",351,0)))) &amp;" ,NULL ,GetDate() ,'scrc' ,GetDate() ,'scrc')")</f>
        <v/>
      </c>
      <c r="AK12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6" spans="1:37" x14ac:dyDescent="0.25">
      <c r="A126" s="66"/>
      <c r="B126" s="66"/>
      <c r="C126" s="64"/>
      <c r="D126" s="64"/>
      <c r="E126" s="63"/>
      <c r="F126" s="64"/>
      <c r="G126" s="64"/>
      <c r="H126" s="64"/>
      <c r="I126" s="64"/>
      <c r="J126" s="64"/>
      <c r="K126" s="64"/>
      <c r="L126" s="64"/>
      <c r="M126" s="63"/>
      <c r="N126" s="63"/>
      <c r="O126" s="63"/>
      <c r="P126" s="63"/>
      <c r="Q126" s="64"/>
      <c r="R126" s="63"/>
      <c r="S126" s="63"/>
      <c r="T126" s="65"/>
      <c r="U126" s="65"/>
      <c r="W126" s="42" t="e">
        <f>VLOOKUP($I126,'AnmeldeVSS-Attribute'!$A$2:$H$16,2,FALSE)</f>
        <v>#N/A</v>
      </c>
      <c r="X126" s="42" t="e">
        <f>VLOOKUP($I126,'AnmeldeVSS-Attribute'!$A$2:$H$16,3,FALSE)</f>
        <v>#N/A</v>
      </c>
      <c r="Y126" s="42" t="e">
        <f>VLOOKUP($I126,'AnmeldeVSS-Attribute'!$A$2:$H$16,4,FALSE)</f>
        <v>#N/A</v>
      </c>
      <c r="Z126" s="42" t="e">
        <f>VLOOKUP($I126,'AnmeldeVSS-Attribute'!$A$2:$H$16,5,FALSE)</f>
        <v>#N/A</v>
      </c>
      <c r="AA126" s="42" t="e">
        <f>VLOOKUP($I126,'AnmeldeVSS-Attribute'!$A$2:$H$16,6,FALSE)</f>
        <v>#N/A</v>
      </c>
      <c r="AB126" s="42" t="e">
        <f>VLOOKUP($I126,'AnmeldeVSS-Attribute'!$A$2:$H$16,7,FALSE)</f>
        <v>#N/A</v>
      </c>
      <c r="AC126" s="42" t="e">
        <f>IF(I126="Geldbetrag",J126,(IF(T126="",VLOOKUP($I126,'AnmeldeVSS-Attribute'!$A$2:$H$16,8,FALSE),T126)))</f>
        <v>#N/A</v>
      </c>
      <c r="AD126" s="42">
        <f>IF(S126="",0,VLOOKUP(S126,'AnmeldeVSS-Attribute'!$A$20:$B$26,2,FALSE))</f>
        <v>0</v>
      </c>
      <c r="AE126" s="42" t="e">
        <f t="shared" si="7"/>
        <v>#N/A</v>
      </c>
      <c r="AF126" s="42" t="str">
        <f t="shared" si="9"/>
        <v/>
      </c>
      <c r="AG126" s="42" t="str">
        <f t="shared" si="8"/>
        <v/>
      </c>
      <c r="AH126" s="47" t="str">
        <f t="shared" si="10"/>
        <v/>
      </c>
      <c r="AI126" s="47" t="str">
        <f t="shared" si="11"/>
        <v/>
      </c>
      <c r="AJ126" s="42" t="str">
        <f>IF(O126="",(IF(P126="Ansicht","INSERT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B126 &amp;" ,NULL ,'',349,"&amp; VLOOKUP(Q126,'AnmeldeVSS-Attribute'!$A$43:$B$50,2,FALSE)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B126 &amp;" ,"&amp; O126 &amp;" ,"&amp; IF(Q126="ja","'1'",IF(Q126="nein","'0'","'"&amp;Q126&amp;"'")) &amp;","&amp;IF(P126="enthält",349,IF(P126="nicht leer",352,IF(P126="enthält nicht",350,IF(P126="leer",351,0)))) &amp;" ,NULL ,GetDate() ,'scrc' ,GetDate() ,'scrc')")</f>
        <v/>
      </c>
      <c r="AK12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7" spans="1:37" x14ac:dyDescent="0.25">
      <c r="A127" s="66"/>
      <c r="B127" s="66"/>
      <c r="C127" s="64"/>
      <c r="D127" s="64"/>
      <c r="E127" s="63"/>
      <c r="F127" s="64"/>
      <c r="G127" s="64"/>
      <c r="H127" s="64"/>
      <c r="I127" s="64"/>
      <c r="J127" s="64"/>
      <c r="K127" s="64"/>
      <c r="L127" s="64"/>
      <c r="M127" s="63"/>
      <c r="N127" s="63"/>
      <c r="O127" s="63"/>
      <c r="P127" s="63"/>
      <c r="Q127" s="64"/>
      <c r="R127" s="63"/>
      <c r="S127" s="63"/>
      <c r="T127" s="65"/>
      <c r="U127" s="65"/>
      <c r="W127" s="42" t="e">
        <f>VLOOKUP($I127,'AnmeldeVSS-Attribute'!$A$2:$H$16,2,FALSE)</f>
        <v>#N/A</v>
      </c>
      <c r="X127" s="42" t="e">
        <f>VLOOKUP($I127,'AnmeldeVSS-Attribute'!$A$2:$H$16,3,FALSE)</f>
        <v>#N/A</v>
      </c>
      <c r="Y127" s="42" t="e">
        <f>VLOOKUP($I127,'AnmeldeVSS-Attribute'!$A$2:$H$16,4,FALSE)</f>
        <v>#N/A</v>
      </c>
      <c r="Z127" s="42" t="e">
        <f>VLOOKUP($I127,'AnmeldeVSS-Attribute'!$A$2:$H$16,5,FALSE)</f>
        <v>#N/A</v>
      </c>
      <c r="AA127" s="42" t="e">
        <f>VLOOKUP($I127,'AnmeldeVSS-Attribute'!$A$2:$H$16,6,FALSE)</f>
        <v>#N/A</v>
      </c>
      <c r="AB127" s="42" t="e">
        <f>VLOOKUP($I127,'AnmeldeVSS-Attribute'!$A$2:$H$16,7,FALSE)</f>
        <v>#N/A</v>
      </c>
      <c r="AC127" s="42" t="e">
        <f>IF(I127="Geldbetrag",J127,(IF(T127="",VLOOKUP($I127,'AnmeldeVSS-Attribute'!$A$2:$H$16,8,FALSE),T127)))</f>
        <v>#N/A</v>
      </c>
      <c r="AD127" s="42">
        <f>IF(S127="",0,VLOOKUP(S127,'AnmeldeVSS-Attribute'!$A$20:$B$26,2,FALSE))</f>
        <v>0</v>
      </c>
      <c r="AE127" s="42" t="e">
        <f t="shared" si="7"/>
        <v>#N/A</v>
      </c>
      <c r="AF127" s="42" t="str">
        <f t="shared" si="9"/>
        <v/>
      </c>
      <c r="AG127" s="42" t="str">
        <f t="shared" si="8"/>
        <v/>
      </c>
      <c r="AH127" s="47" t="str">
        <f t="shared" si="10"/>
        <v/>
      </c>
      <c r="AI127" s="47" t="str">
        <f t="shared" si="11"/>
        <v/>
      </c>
      <c r="AJ127" s="42" t="str">
        <f>IF(O127="",(IF(P127="Ansicht","INSERT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B127 &amp;" ,NULL ,'',349,"&amp; VLOOKUP(Q127,'AnmeldeVSS-Attribute'!$A$43:$B$50,2,FALSE)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B127 &amp;" ,"&amp; O127 &amp;" ,"&amp; IF(Q127="ja","'1'",IF(Q127="nein","'0'","'"&amp;Q127&amp;"'")) &amp;","&amp;IF(P127="enthält",349,IF(P127="nicht leer",352,IF(P127="enthält nicht",350,IF(P127="leer",351,0)))) &amp;" ,NULL ,GetDate() ,'scrc' ,GetDate() ,'scrc')")</f>
        <v/>
      </c>
      <c r="AK12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8" spans="1:37" x14ac:dyDescent="0.25">
      <c r="A128" s="66"/>
      <c r="B128" s="66"/>
      <c r="C128" s="64"/>
      <c r="D128" s="64"/>
      <c r="E128" s="63"/>
      <c r="F128" s="64"/>
      <c r="G128" s="64"/>
      <c r="H128" s="64"/>
      <c r="I128" s="64"/>
      <c r="J128" s="64"/>
      <c r="K128" s="64"/>
      <c r="L128" s="64"/>
      <c r="M128" s="63"/>
      <c r="N128" s="63"/>
      <c r="O128" s="63"/>
      <c r="P128" s="63"/>
      <c r="Q128" s="64"/>
      <c r="R128" s="63"/>
      <c r="S128" s="63"/>
      <c r="T128" s="65"/>
      <c r="U128" s="65"/>
      <c r="W128" s="42" t="e">
        <f>VLOOKUP($I128,'AnmeldeVSS-Attribute'!$A$2:$H$16,2,FALSE)</f>
        <v>#N/A</v>
      </c>
      <c r="X128" s="42" t="e">
        <f>VLOOKUP($I128,'AnmeldeVSS-Attribute'!$A$2:$H$16,3,FALSE)</f>
        <v>#N/A</v>
      </c>
      <c r="Y128" s="42" t="e">
        <f>VLOOKUP($I128,'AnmeldeVSS-Attribute'!$A$2:$H$16,4,FALSE)</f>
        <v>#N/A</v>
      </c>
      <c r="Z128" s="42" t="e">
        <f>VLOOKUP($I128,'AnmeldeVSS-Attribute'!$A$2:$H$16,5,FALSE)</f>
        <v>#N/A</v>
      </c>
      <c r="AA128" s="42" t="e">
        <f>VLOOKUP($I128,'AnmeldeVSS-Attribute'!$A$2:$H$16,6,FALSE)</f>
        <v>#N/A</v>
      </c>
      <c r="AB128" s="42" t="e">
        <f>VLOOKUP($I128,'AnmeldeVSS-Attribute'!$A$2:$H$16,7,FALSE)</f>
        <v>#N/A</v>
      </c>
      <c r="AC128" s="42" t="e">
        <f>IF(I128="Geldbetrag",J128,(IF(T128="",VLOOKUP($I128,'AnmeldeVSS-Attribute'!$A$2:$H$16,8,FALSE),T128)))</f>
        <v>#N/A</v>
      </c>
      <c r="AD128" s="42">
        <f>IF(S128="",0,VLOOKUP(S128,'AnmeldeVSS-Attribute'!$A$20:$B$26,2,FALSE))</f>
        <v>0</v>
      </c>
      <c r="AE128" s="42" t="e">
        <f t="shared" si="7"/>
        <v>#N/A</v>
      </c>
      <c r="AF128" s="42" t="str">
        <f t="shared" si="9"/>
        <v/>
      </c>
      <c r="AG128" s="42" t="str">
        <f t="shared" si="8"/>
        <v/>
      </c>
      <c r="AH128" s="47" t="str">
        <f t="shared" si="10"/>
        <v/>
      </c>
      <c r="AI128" s="47" t="str">
        <f t="shared" si="11"/>
        <v/>
      </c>
      <c r="AJ128" s="42" t="str">
        <f>IF(O128="",(IF(P128="Ansicht","INSERT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B128 &amp;" ,NULL ,'',349,"&amp; VLOOKUP(Q128,'AnmeldeVSS-Attribute'!$A$43:$B$50,2,FALSE)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B128 &amp;" ,"&amp; O128 &amp;" ,"&amp; IF(Q128="ja","'1'",IF(Q128="nein","'0'","'"&amp;Q128&amp;"'")) &amp;","&amp;IF(P128="enthält",349,IF(P128="nicht leer",352,IF(P128="enthält nicht",350,IF(P128="leer",351,0)))) &amp;" ,NULL ,GetDate() ,'scrc' ,GetDate() ,'scrc')")</f>
        <v/>
      </c>
      <c r="AK12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29" spans="1:37" x14ac:dyDescent="0.25">
      <c r="A129" s="66"/>
      <c r="B129" s="66"/>
      <c r="C129" s="64"/>
      <c r="D129" s="64"/>
      <c r="E129" s="63"/>
      <c r="F129" s="64"/>
      <c r="G129" s="64"/>
      <c r="H129" s="64"/>
      <c r="I129" s="64"/>
      <c r="J129" s="64"/>
      <c r="K129" s="64"/>
      <c r="L129" s="64"/>
      <c r="M129" s="63"/>
      <c r="N129" s="63"/>
      <c r="O129" s="63"/>
      <c r="P129" s="63"/>
      <c r="Q129" s="64"/>
      <c r="R129" s="63"/>
      <c r="S129" s="63"/>
      <c r="T129" s="69"/>
      <c r="U129" s="69"/>
      <c r="W129" s="42" t="e">
        <f>VLOOKUP($I129,'AnmeldeVSS-Attribute'!$A$2:$H$16,2,FALSE)</f>
        <v>#N/A</v>
      </c>
      <c r="X129" s="42" t="e">
        <f>VLOOKUP($I129,'AnmeldeVSS-Attribute'!$A$2:$H$16,3,FALSE)</f>
        <v>#N/A</v>
      </c>
      <c r="Y129" s="42" t="e">
        <f>VLOOKUP($I129,'AnmeldeVSS-Attribute'!$A$2:$H$16,4,FALSE)</f>
        <v>#N/A</v>
      </c>
      <c r="Z129" s="42" t="e">
        <f>VLOOKUP($I129,'AnmeldeVSS-Attribute'!$A$2:$H$16,5,FALSE)</f>
        <v>#N/A</v>
      </c>
      <c r="AA129" s="42" t="e">
        <f>VLOOKUP($I129,'AnmeldeVSS-Attribute'!$A$2:$H$16,6,FALSE)</f>
        <v>#N/A</v>
      </c>
      <c r="AB129" s="42" t="e">
        <f>VLOOKUP($I129,'AnmeldeVSS-Attribute'!$A$2:$H$16,7,FALSE)</f>
        <v>#N/A</v>
      </c>
      <c r="AC129" s="42" t="e">
        <f>IF(I129="Geldbetrag",J129,(IF(T129="",VLOOKUP($I129,'AnmeldeVSS-Attribute'!$A$2:$H$16,8,FALSE),T129)))</f>
        <v>#N/A</v>
      </c>
      <c r="AD129" s="42">
        <f>IF(S129="",0,VLOOKUP(S129,'AnmeldeVSS-Attribute'!$A$20:$B$26,2,FALSE))</f>
        <v>0</v>
      </c>
      <c r="AE129" s="42" t="e">
        <f t="shared" si="7"/>
        <v>#N/A</v>
      </c>
      <c r="AF129" s="42" t="str">
        <f t="shared" si="9"/>
        <v/>
      </c>
      <c r="AG129" s="42" t="str">
        <f t="shared" si="8"/>
        <v/>
      </c>
      <c r="AH129" s="47" t="str">
        <f t="shared" si="10"/>
        <v/>
      </c>
      <c r="AI129" s="47" t="str">
        <f t="shared" si="11"/>
        <v/>
      </c>
      <c r="AJ129" s="42" t="str">
        <f>IF(O129="",(IF(P129="Ansicht","INSERT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B129 &amp;" ,NULL ,'',349,"&amp; VLOOKUP(Q129,'AnmeldeVSS-Attribute'!$A$43:$B$50,2,FALSE)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B129 &amp;" ,"&amp; O129 &amp;" ,"&amp; IF(Q129="ja","'1'",IF(Q129="nein","'0'","'"&amp;Q129&amp;"'")) &amp;","&amp;IF(P129="enthält",349,IF(P129="nicht leer",352,IF(P129="enthält nicht",350,IF(P129="leer",351,0)))) &amp;" ,NULL ,GetDate() ,'scrc' ,GetDate() ,'scrc')")</f>
        <v/>
      </c>
      <c r="AK12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0" spans="1:37" x14ac:dyDescent="0.25">
      <c r="A130" s="66"/>
      <c r="B130" s="66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5"/>
      <c r="U130" s="65"/>
      <c r="V130" s="42"/>
      <c r="W130" s="42" t="e">
        <f>VLOOKUP($I130,'AnmeldeVSS-Attribute'!$A$2:$H$16,2,FALSE)</f>
        <v>#N/A</v>
      </c>
      <c r="X130" s="42" t="e">
        <f>VLOOKUP($I130,'AnmeldeVSS-Attribute'!$A$2:$H$16,3,FALSE)</f>
        <v>#N/A</v>
      </c>
      <c r="Y130" s="42" t="e">
        <f>VLOOKUP($I130,'AnmeldeVSS-Attribute'!$A$2:$H$16,4,FALSE)</f>
        <v>#N/A</v>
      </c>
      <c r="Z130" s="42" t="e">
        <f>VLOOKUP($I130,'AnmeldeVSS-Attribute'!$A$2:$H$16,5,FALSE)</f>
        <v>#N/A</v>
      </c>
      <c r="AA130" s="42" t="e">
        <f>VLOOKUP($I130,'AnmeldeVSS-Attribute'!$A$2:$H$16,6,FALSE)</f>
        <v>#N/A</v>
      </c>
      <c r="AB130" s="42" t="e">
        <f>VLOOKUP($I130,'AnmeldeVSS-Attribute'!$A$2:$H$16,7,FALSE)</f>
        <v>#N/A</v>
      </c>
      <c r="AC130" s="42" t="e">
        <f>IF(I130="Geldbetrag",J130,(IF(T130="",VLOOKUP($I130,'AnmeldeVSS-Attribute'!$A$2:$H$16,8,FALSE),T130)))</f>
        <v>#N/A</v>
      </c>
      <c r="AD130" s="42">
        <f>IF(S130="",0,VLOOKUP(S130,'AnmeldeVSS-Attribute'!$A$20:$B$26,2,FALSE))</f>
        <v>0</v>
      </c>
      <c r="AE130" s="42" t="e">
        <f t="shared" si="7"/>
        <v>#N/A</v>
      </c>
      <c r="AF130" s="42" t="str">
        <f t="shared" si="9"/>
        <v/>
      </c>
      <c r="AG130" s="42" t="str">
        <f t="shared" si="8"/>
        <v/>
      </c>
      <c r="AH130" s="47" t="str">
        <f t="shared" si="10"/>
        <v/>
      </c>
      <c r="AI130" s="47" t="str">
        <f t="shared" si="11"/>
        <v/>
      </c>
      <c r="AJ130" s="42" t="str">
        <f>IF(O130="",(IF(P130="Ansicht","INSERT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B130 &amp;" ,NULL ,'',349,"&amp; VLOOKUP(Q130,'AnmeldeVSS-Attribute'!$A$43:$B$50,2,FALSE)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B130 &amp;" ,"&amp; O130 &amp;" ,"&amp; IF(Q130="ja","'1'",IF(Q130="nein","'0'","'"&amp;Q130&amp;"'")) &amp;","&amp;IF(P130="enthält",349,IF(P130="nicht leer",352,IF(P130="enthält nicht",350,IF(P130="leer",351,0)))) &amp;" ,NULL ,GetDate() ,'scrc' ,GetDate() ,'scrc')")</f>
        <v/>
      </c>
      <c r="AK13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1" spans="1:37" x14ac:dyDescent="0.25">
      <c r="A131" s="66"/>
      <c r="B131" s="66"/>
      <c r="C131" s="64"/>
      <c r="D131" s="64"/>
      <c r="E131" s="63"/>
      <c r="F131" s="64"/>
      <c r="G131" s="64"/>
      <c r="H131" s="64"/>
      <c r="I131" s="64"/>
      <c r="J131" s="64"/>
      <c r="K131" s="64"/>
      <c r="L131" s="64"/>
      <c r="M131" s="63"/>
      <c r="N131" s="63"/>
      <c r="O131" s="63"/>
      <c r="P131" s="63"/>
      <c r="Q131" s="64"/>
      <c r="R131" s="63"/>
      <c r="S131" s="63"/>
      <c r="T131" s="65"/>
      <c r="U131" s="65"/>
      <c r="V131" s="42"/>
      <c r="W131" s="42" t="e">
        <f>VLOOKUP($I131,'AnmeldeVSS-Attribute'!$A$2:$H$16,2,FALSE)</f>
        <v>#N/A</v>
      </c>
      <c r="X131" s="42" t="e">
        <f>VLOOKUP($I131,'AnmeldeVSS-Attribute'!$A$2:$H$16,3,FALSE)</f>
        <v>#N/A</v>
      </c>
      <c r="Y131" s="42" t="e">
        <f>VLOOKUP($I131,'AnmeldeVSS-Attribute'!$A$2:$H$16,4,FALSE)</f>
        <v>#N/A</v>
      </c>
      <c r="Z131" s="42" t="e">
        <f>VLOOKUP($I131,'AnmeldeVSS-Attribute'!$A$2:$H$16,5,FALSE)</f>
        <v>#N/A</v>
      </c>
      <c r="AA131" s="42" t="e">
        <f>VLOOKUP($I131,'AnmeldeVSS-Attribute'!$A$2:$H$16,6,FALSE)</f>
        <v>#N/A</v>
      </c>
      <c r="AB131" s="42" t="e">
        <f>VLOOKUP($I131,'AnmeldeVSS-Attribute'!$A$2:$H$16,7,FALSE)</f>
        <v>#N/A</v>
      </c>
      <c r="AC131" s="42" t="e">
        <f>IF(I131="Geldbetrag",J131,(IF(T131="",VLOOKUP($I131,'AnmeldeVSS-Attribute'!$A$2:$H$16,8,FALSE),T131)))</f>
        <v>#N/A</v>
      </c>
      <c r="AD131" s="42">
        <f>IF(S131="",0,VLOOKUP(S131,'AnmeldeVSS-Attribute'!$A$20:$B$26,2,FALSE))</f>
        <v>0</v>
      </c>
      <c r="AE131" s="42" t="e">
        <f t="shared" si="7"/>
        <v>#N/A</v>
      </c>
      <c r="AF131" s="42" t="str">
        <f t="shared" si="9"/>
        <v/>
      </c>
      <c r="AG131" s="42" t="str">
        <f t="shared" si="8"/>
        <v/>
      </c>
      <c r="AH131" s="47" t="str">
        <f t="shared" si="10"/>
        <v/>
      </c>
      <c r="AI131" s="47" t="str">
        <f t="shared" si="11"/>
        <v/>
      </c>
      <c r="AJ131" s="42" t="str">
        <f>IF(O131="",(IF(P131="Ansicht","INSERT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B131 &amp;" ,NULL ,'',349,"&amp; VLOOKUP(Q131,'AnmeldeVSS-Attribute'!$A$43:$B$50,2,FALSE)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B131 &amp;" ,"&amp; O131 &amp;" ,"&amp; IF(Q131="ja","'1'",IF(Q131="nein","'0'","'"&amp;Q131&amp;"'")) &amp;","&amp;IF(P131="enthält",349,IF(P131="nicht leer",352,IF(P131="enthält nicht",350,IF(P131="leer",351,0)))) &amp;" ,NULL ,GetDate() ,'scrc' ,GetDate() ,'scrc')")</f>
        <v/>
      </c>
      <c r="AK131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2" spans="1:37" x14ac:dyDescent="0.25">
      <c r="A132" s="66"/>
      <c r="B132" s="66"/>
      <c r="C132" s="68"/>
      <c r="D132" s="68"/>
      <c r="E132" s="66"/>
      <c r="F132" s="68"/>
      <c r="G132" s="68"/>
      <c r="H132" s="68"/>
      <c r="I132" s="68"/>
      <c r="J132" s="68"/>
      <c r="K132" s="68"/>
      <c r="L132" s="68"/>
      <c r="M132" s="66"/>
      <c r="N132" s="66"/>
      <c r="O132" s="66"/>
      <c r="P132" s="66"/>
      <c r="Q132" s="68"/>
      <c r="R132" s="66"/>
      <c r="S132" s="66"/>
      <c r="T132" s="65"/>
      <c r="U132" s="65"/>
      <c r="V132" s="42"/>
      <c r="W132" s="42" t="e">
        <f>VLOOKUP($I132,'AnmeldeVSS-Attribute'!$A$2:$H$16,2,FALSE)</f>
        <v>#N/A</v>
      </c>
      <c r="X132" s="42" t="e">
        <f>VLOOKUP($I132,'AnmeldeVSS-Attribute'!$A$2:$H$16,3,FALSE)</f>
        <v>#N/A</v>
      </c>
      <c r="Y132" s="42" t="e">
        <f>VLOOKUP($I132,'AnmeldeVSS-Attribute'!$A$2:$H$16,4,FALSE)</f>
        <v>#N/A</v>
      </c>
      <c r="Z132" s="42" t="e">
        <f>VLOOKUP($I132,'AnmeldeVSS-Attribute'!$A$2:$H$16,5,FALSE)</f>
        <v>#N/A</v>
      </c>
      <c r="AA132" s="42" t="e">
        <f>VLOOKUP($I132,'AnmeldeVSS-Attribute'!$A$2:$H$16,6,FALSE)</f>
        <v>#N/A</v>
      </c>
      <c r="AB132" s="42" t="e">
        <f>VLOOKUP($I132,'AnmeldeVSS-Attribute'!$A$2:$H$16,7,FALSE)</f>
        <v>#N/A</v>
      </c>
      <c r="AC132" s="42" t="e">
        <f>IF(I132="Geldbetrag",J132,(IF(T132="",VLOOKUP($I132,'AnmeldeVSS-Attribute'!$A$2:$H$16,8,FALSE),T132)))</f>
        <v>#N/A</v>
      </c>
      <c r="AD132" s="42">
        <f>IF(S132="",0,VLOOKUP(S132,'AnmeldeVSS-Attribute'!$A$20:$B$26,2,FALSE))</f>
        <v>0</v>
      </c>
      <c r="AE132" s="42" t="e">
        <f t="shared" si="7"/>
        <v>#N/A</v>
      </c>
      <c r="AF132" s="42" t="str">
        <f t="shared" si="9"/>
        <v/>
      </c>
      <c r="AG132" s="42" t="str">
        <f t="shared" si="8"/>
        <v/>
      </c>
      <c r="AH132" s="47" t="str">
        <f t="shared" si="10"/>
        <v/>
      </c>
      <c r="AI132" s="47" t="str">
        <f t="shared" si="11"/>
        <v/>
      </c>
      <c r="AJ132" s="42" t="str">
        <f>IF(O132="",(IF(P132="Ansicht","INSERT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B132 &amp;" ,NULL ,'',349,"&amp; VLOOKUP(Q132,'AnmeldeVSS-Attribute'!$A$43:$B$50,2,FALSE)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B132 &amp;" ,"&amp; O132 &amp;" ,"&amp; IF(Q132="ja","'1'",IF(Q132="nein","'0'","'"&amp;Q132&amp;"'")) &amp;","&amp;IF(P132="enthält",349,IF(P132="nicht leer",352,IF(P132="enthält nicht",350,IF(P132="leer",351,0)))) &amp;" ,NULL ,GetDate() ,'scrc' ,GetDate() ,'scrc')")</f>
        <v/>
      </c>
      <c r="AK13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3" spans="1:37" x14ac:dyDescent="0.25">
      <c r="A133" s="66"/>
      <c r="B133" s="66"/>
      <c r="C133" s="68"/>
      <c r="D133" s="68"/>
      <c r="E133" s="66"/>
      <c r="F133" s="68"/>
      <c r="G133" s="68"/>
      <c r="H133" s="68"/>
      <c r="I133" s="68"/>
      <c r="J133" s="62"/>
      <c r="K133" s="62"/>
      <c r="L133" s="68"/>
      <c r="M133" s="66"/>
      <c r="N133" s="66"/>
      <c r="O133" s="66"/>
      <c r="P133" s="68"/>
      <c r="Q133" s="62"/>
      <c r="R133" s="66"/>
      <c r="S133" s="66"/>
      <c r="T133" s="65"/>
      <c r="U133" s="65"/>
      <c r="V133" s="42"/>
      <c r="W133" s="42" t="e">
        <f>VLOOKUP($I133,'AnmeldeVSS-Attribute'!$A$2:$H$16,2,FALSE)</f>
        <v>#N/A</v>
      </c>
      <c r="X133" s="42" t="e">
        <f>VLOOKUP($I133,'AnmeldeVSS-Attribute'!$A$2:$H$16,3,FALSE)</f>
        <v>#N/A</v>
      </c>
      <c r="Y133" s="42" t="e">
        <f>VLOOKUP($I133,'AnmeldeVSS-Attribute'!$A$2:$H$16,4,FALSE)</f>
        <v>#N/A</v>
      </c>
      <c r="Z133" s="42" t="e">
        <f>VLOOKUP($I133,'AnmeldeVSS-Attribute'!$A$2:$H$16,5,FALSE)</f>
        <v>#N/A</v>
      </c>
      <c r="AA133" s="42" t="e">
        <f>VLOOKUP($I133,'AnmeldeVSS-Attribute'!$A$2:$H$16,6,FALSE)</f>
        <v>#N/A</v>
      </c>
      <c r="AB133" s="42" t="e">
        <f>VLOOKUP($I133,'AnmeldeVSS-Attribute'!$A$2:$H$16,7,FALSE)</f>
        <v>#N/A</v>
      </c>
      <c r="AC133" s="42" t="e">
        <f>IF(I133="Geldbetrag",J133,(IF(T133="",VLOOKUP($I133,'AnmeldeVSS-Attribute'!$A$2:$H$16,8,FALSE),T133)))</f>
        <v>#N/A</v>
      </c>
      <c r="AD133" s="42">
        <f>IF(S133="",0,VLOOKUP(S133,'AnmeldeVSS-Attribute'!$A$20:$B$26,2,FALSE))</f>
        <v>0</v>
      </c>
      <c r="AE133" s="42" t="e">
        <f t="shared" si="7"/>
        <v>#N/A</v>
      </c>
      <c r="AF133" s="42" t="str">
        <f t="shared" si="9"/>
        <v/>
      </c>
      <c r="AG133" s="42" t="str">
        <f t="shared" si="8"/>
        <v/>
      </c>
      <c r="AH133" s="47" t="str">
        <f t="shared" si="10"/>
        <v/>
      </c>
      <c r="AI133" s="47" t="str">
        <f t="shared" si="11"/>
        <v/>
      </c>
      <c r="AJ133" s="42" t="str">
        <f>IF(O133="",(IF(P133="Ansicht","INSERT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B133 &amp;" ,NULL ,'',349,"&amp; VLOOKUP(Q133,'AnmeldeVSS-Attribute'!$A$43:$B$50,2,FALSE)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B133 &amp;" ,"&amp; O133 &amp;" ,"&amp; IF(Q133="ja","'1'",IF(Q133="nein","'0'","'"&amp;Q133&amp;"'")) &amp;","&amp;IF(P133="enthält",349,IF(P133="nicht leer",352,IF(P133="enthält nicht",350,IF(P133="leer",351,0)))) &amp;" ,NULL ,GetDate() ,'scrc' ,GetDate() ,'scrc')")</f>
        <v/>
      </c>
      <c r="AK13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4" spans="1:37" ht="138" customHeight="1" x14ac:dyDescent="0.25">
      <c r="A134" s="66"/>
      <c r="B134" s="66"/>
      <c r="C134" s="68"/>
      <c r="D134" s="53"/>
      <c r="E134" s="66"/>
      <c r="F134" s="68"/>
      <c r="G134" s="68"/>
      <c r="H134" s="68"/>
      <c r="I134" s="68"/>
      <c r="J134" s="68"/>
      <c r="K134" s="68"/>
      <c r="L134" s="68"/>
      <c r="M134" s="66"/>
      <c r="N134" s="66"/>
      <c r="O134" s="66"/>
      <c r="P134" s="66"/>
      <c r="Q134" s="68"/>
      <c r="R134" s="66"/>
      <c r="S134" s="66"/>
      <c r="T134" s="65"/>
      <c r="U134" s="65"/>
      <c r="V134" s="42"/>
      <c r="W134" s="42" t="e">
        <f>VLOOKUP($I134,'AnmeldeVSS-Attribute'!$A$2:$H$16,2,FALSE)</f>
        <v>#N/A</v>
      </c>
      <c r="X134" s="42" t="e">
        <f>VLOOKUP($I134,'AnmeldeVSS-Attribute'!$A$2:$H$16,3,FALSE)</f>
        <v>#N/A</v>
      </c>
      <c r="Y134" s="42" t="e">
        <f>VLOOKUP($I134,'AnmeldeVSS-Attribute'!$A$2:$H$16,4,FALSE)</f>
        <v>#N/A</v>
      </c>
      <c r="Z134" s="42" t="e">
        <f>VLOOKUP($I134,'AnmeldeVSS-Attribute'!$A$2:$H$16,5,FALSE)</f>
        <v>#N/A</v>
      </c>
      <c r="AA134" s="42" t="e">
        <f>VLOOKUP($I134,'AnmeldeVSS-Attribute'!$A$2:$H$16,6,FALSE)</f>
        <v>#N/A</v>
      </c>
      <c r="AB134" s="42" t="e">
        <f>VLOOKUP($I134,'AnmeldeVSS-Attribute'!$A$2:$H$16,7,FALSE)</f>
        <v>#N/A</v>
      </c>
      <c r="AC134" s="42" t="e">
        <f>IF(I134="Geldbetrag",J134,(IF(T134="",VLOOKUP($I134,'AnmeldeVSS-Attribute'!$A$2:$H$16,8,FALSE),T134)))</f>
        <v>#N/A</v>
      </c>
      <c r="AD134" s="42">
        <f>IF(S134="",0,VLOOKUP(S134,'AnmeldeVSS-Attribute'!$A$20:$B$26,2,FALSE))</f>
        <v>0</v>
      </c>
      <c r="AE134" s="42" t="e">
        <f t="shared" ref="AE134:AE197" si="13">"IF NOT EXISTS(SELECT * FROM tblAnmeldeVSS WHERE IdAnlass = "&amp;IDAnlass&amp;" AND IdAnmeldeVSS = "&amp;B134&amp;")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"&amp;B134&amp;", 0, '"&amp;C134&amp;"', '"&amp;LEFT(E134,20)&amp;"', '"&amp;W134&amp;"', '"&amp;X134&amp;"', '"&amp;Y134&amp;"', "&amp;IF(M134="Ja","1","0")&amp;", "&amp;IF(N134="lesen","'R'",IF(N134="ändern","'E'","'H'"))&amp;", 
 '"&amp;A134&amp;"', "&amp;Z134&amp;", "&amp;AA134&amp;", "&amp;AB134&amp;", GetDate(), '"&amp;IDBenutzer&amp;"', GetDate(), '"&amp;IDBenutzer&amp;"',
0, "
&amp;IF(I134="LookupKey","'SELECT ELVValue, IDELK
FROM   qryEvt_Bus_EventoLookupKey_All
WHERE  IDELKGroup = "&amp;AB134&amp;"
AND    ELVLangCode = @KontextIdLanguage
AND    SUBSTRING(ELKAdminModus, 2, 1) &lt;&gt; ''H''
ORDER BY ELVSort'",(IF(I134="Arbeitsanweisung","'SELECT LookupfieldsValue FROM   tblLookupfields WHERE  LookupfieldsTyp = ''Arbeitsanweisung'' ORDER BY LookupFieldsSort'","Null")))&amp;", "
&amp;IF(AC134&lt;&gt;"","'"&amp;AC134&amp;"'","NULL")&amp;", '"&amp;G134&amp;"' ,"&amp;IF(I134="Arbeitsanweisung","'Arbeitsanweisung'","NULL")&amp;")"</f>
        <v>#N/A</v>
      </c>
      <c r="AF134" s="42" t="str">
        <f t="shared" ref="AF134:AF172" si="14">IF(B134&lt;100000,"",AE134)</f>
        <v/>
      </c>
      <c r="AG134" s="42" t="str">
        <f t="shared" ref="AG134:AG197" si="15">IF($A134="","","Update tblAnmeldeVSS Set AnmeldeVSSSort ='"&amp; A134 &amp;"', AnmeldeVSSZuPruefen ="&amp; IF(R134="Ja",1,0) &amp;", AnmeldeVSSStyleSet ="&amp; AD134 &amp;", AnmeldeVSSInternet= "&amp;IF(N134="lesen","'R'",IF(N134="ändern","'E'",IF(N134="muss","'M'","'H'")))&amp;", AnmeldeVSSImmerSichtbar = " &amp; IF(M134="Ja",1,0) &amp; ", AnmeldeVSSDefaultWert=" &amp; IF(AC134&lt;&gt;"","'"&amp;AC134&amp;"'","NULL") &amp; ", AnmeldeVSSMuss="&amp; IF(L134="Ja",1,0) &amp;" Where IdAnlass=" &amp; IDAnlass &amp; " AND IdAnmeldeVSS = " &amp; B134)</f>
        <v/>
      </c>
      <c r="AH134" s="47" t="str">
        <f t="shared" ref="AH134:AH172" si="16">IF(AF134="","",IF(J134="","",IF(I134="LookupField",AK134,"")))</f>
        <v/>
      </c>
      <c r="AI134" s="47" t="str">
        <f t="shared" ref="AI134:AI172" si="17">IF(D134&lt;&gt;"","update tblAnmeldeVSSLanguage set AnmeldeVSSBezeichnung = '" &amp; D134 &amp;"', AnmeldeVSSBezeichnungToDo = 0 " &amp;IF(H134&lt;&gt;"",", AnmeldeVSSTooltip = '"&amp; H134 &amp;"', AnmeldeVSSTooltipToDo = 0 ","") &amp; "where IDAnlass = "&amp; IDAnlass &amp;" and IDAnmeldeVSS = "&amp; B134,"")</f>
        <v/>
      </c>
      <c r="AJ134" s="42" t="str">
        <f>IF(O134="",(IF(P134="Ansicht","INSERT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B134 &amp;" ,NULL ,'',349,"&amp; VLOOKUP(Q134,'AnmeldeVSS-Attribute'!$A$43:$B$50,2,FALSE)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B134 &amp;" ,"&amp; O134 &amp;" ,"&amp; IF(Q134="ja","'1'",IF(Q134="nein","'0'","'"&amp;Q134&amp;"'")) &amp;","&amp;IF(P134="enthält",349,IF(P134="nicht leer",352,IF(P134="enthält nicht",350,IF(P134="leer",351,0)))) &amp;" ,NULL ,GetDate() ,'scrc' ,GetDate() ,'scrc')")</f>
        <v/>
      </c>
      <c r="AK13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5" spans="1:37" x14ac:dyDescent="0.25">
      <c r="A135" s="66"/>
      <c r="B135" s="66"/>
      <c r="C135" s="68"/>
      <c r="D135" s="68"/>
      <c r="E135" s="66"/>
      <c r="F135" s="68"/>
      <c r="G135" s="68"/>
      <c r="H135" s="68"/>
      <c r="I135" s="68"/>
      <c r="J135" s="68"/>
      <c r="K135" s="68"/>
      <c r="L135" s="68"/>
      <c r="M135" s="66"/>
      <c r="N135" s="66"/>
      <c r="O135" s="66"/>
      <c r="P135" s="66"/>
      <c r="Q135" s="68"/>
      <c r="R135" s="66"/>
      <c r="S135" s="66"/>
      <c r="T135" s="65"/>
      <c r="U135" s="65"/>
      <c r="V135" s="42"/>
      <c r="W135" s="42" t="e">
        <f>VLOOKUP($I135,'AnmeldeVSS-Attribute'!$A$2:$H$16,2,FALSE)</f>
        <v>#N/A</v>
      </c>
      <c r="X135" s="42" t="e">
        <f>VLOOKUP($I135,'AnmeldeVSS-Attribute'!$A$2:$H$16,3,FALSE)</f>
        <v>#N/A</v>
      </c>
      <c r="Y135" s="42" t="e">
        <f>VLOOKUP($I135,'AnmeldeVSS-Attribute'!$A$2:$H$16,4,FALSE)</f>
        <v>#N/A</v>
      </c>
      <c r="Z135" s="42" t="e">
        <f>VLOOKUP($I135,'AnmeldeVSS-Attribute'!$A$2:$H$16,5,FALSE)</f>
        <v>#N/A</v>
      </c>
      <c r="AA135" s="42" t="e">
        <f>VLOOKUP($I135,'AnmeldeVSS-Attribute'!$A$2:$H$16,6,FALSE)</f>
        <v>#N/A</v>
      </c>
      <c r="AB135" s="42" t="e">
        <f>VLOOKUP($I135,'AnmeldeVSS-Attribute'!$A$2:$H$16,7,FALSE)</f>
        <v>#N/A</v>
      </c>
      <c r="AC135" s="42" t="e">
        <f>IF(I135="Geldbetrag",J135,(IF(T135="",VLOOKUP($I135,'AnmeldeVSS-Attribute'!$A$2:$H$16,8,FALSE),T135)))</f>
        <v>#N/A</v>
      </c>
      <c r="AD135" s="42">
        <f>IF(S135="",0,VLOOKUP(S135,'AnmeldeVSS-Attribute'!$A$20:$B$26,2,FALSE))</f>
        <v>0</v>
      </c>
      <c r="AE135" s="42" t="e">
        <f t="shared" si="13"/>
        <v>#N/A</v>
      </c>
      <c r="AF135" s="42" t="str">
        <f t="shared" si="14"/>
        <v/>
      </c>
      <c r="AG135" s="42" t="str">
        <f t="shared" si="15"/>
        <v/>
      </c>
      <c r="AH135" s="47" t="str">
        <f t="shared" si="16"/>
        <v/>
      </c>
      <c r="AI135" s="47" t="str">
        <f t="shared" si="17"/>
        <v/>
      </c>
      <c r="AJ135" s="42" t="str">
        <f>IF(O135="",(IF(P135="Ansicht","INSERT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B135 &amp;" ,NULL ,'',349,"&amp; VLOOKUP(Q135,'AnmeldeVSS-Attribute'!$A$43:$B$50,2,FALSE)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B135 &amp;" ,"&amp; O135 &amp;" ,"&amp; IF(Q135="ja","'1'",IF(Q135="nein","'0'","'"&amp;Q135&amp;"'")) &amp;","&amp;IF(P135="enthält",349,IF(P135="nicht leer",352,IF(P135="enthält nicht",350,IF(P135="leer",351,0)))) &amp;" ,NULL ,GetDate() ,'scrc' ,GetDate() ,'scrc')")</f>
        <v/>
      </c>
      <c r="AK13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6" spans="1:37" x14ac:dyDescent="0.25">
      <c r="A136" s="71"/>
      <c r="B136" s="71"/>
      <c r="C136" s="71"/>
      <c r="D136" s="71"/>
      <c r="E136" s="66"/>
      <c r="F136" s="71"/>
      <c r="G136" s="71"/>
      <c r="H136" s="71"/>
      <c r="I136" s="71"/>
      <c r="J136" s="71"/>
      <c r="K136" s="71"/>
      <c r="L136" s="71"/>
      <c r="M136" s="70"/>
      <c r="N136" s="70"/>
      <c r="O136" s="70"/>
      <c r="P136" s="70"/>
      <c r="Q136" s="71"/>
      <c r="R136" s="70"/>
      <c r="S136" s="70"/>
      <c r="T136" s="65"/>
      <c r="U136" s="65"/>
      <c r="V136" s="42"/>
      <c r="W136" s="42" t="e">
        <f>VLOOKUP($I136,'AnmeldeVSS-Attribute'!$A$2:$H$16,2,FALSE)</f>
        <v>#N/A</v>
      </c>
      <c r="X136" s="42" t="e">
        <f>VLOOKUP($I136,'AnmeldeVSS-Attribute'!$A$2:$H$16,3,FALSE)</f>
        <v>#N/A</v>
      </c>
      <c r="Y136" s="42" t="e">
        <f>VLOOKUP($I136,'AnmeldeVSS-Attribute'!$A$2:$H$16,4,FALSE)</f>
        <v>#N/A</v>
      </c>
      <c r="Z136" s="42" t="e">
        <f>VLOOKUP($I136,'AnmeldeVSS-Attribute'!$A$2:$H$16,5,FALSE)</f>
        <v>#N/A</v>
      </c>
      <c r="AA136" s="42" t="e">
        <f>VLOOKUP($I136,'AnmeldeVSS-Attribute'!$A$2:$H$16,6,FALSE)</f>
        <v>#N/A</v>
      </c>
      <c r="AB136" s="42" t="e">
        <f>VLOOKUP($I136,'AnmeldeVSS-Attribute'!$A$2:$H$16,7,FALSE)</f>
        <v>#N/A</v>
      </c>
      <c r="AC136" s="42" t="e">
        <f>IF(I136="Geldbetrag",J136,(IF(T136="",VLOOKUP($I136,'AnmeldeVSS-Attribute'!$A$2:$H$16,8,FALSE),T136)))</f>
        <v>#N/A</v>
      </c>
      <c r="AD136" s="42">
        <f>IF(S136="",0,VLOOKUP(S136,'AnmeldeVSS-Attribute'!$A$20:$B$26,2,FALSE))</f>
        <v>0</v>
      </c>
      <c r="AE136" s="42" t="e">
        <f t="shared" si="13"/>
        <v>#N/A</v>
      </c>
      <c r="AF136" s="42" t="str">
        <f t="shared" si="14"/>
        <v/>
      </c>
      <c r="AG136" s="42" t="str">
        <f t="shared" si="15"/>
        <v/>
      </c>
      <c r="AH136" s="47" t="str">
        <f t="shared" si="16"/>
        <v/>
      </c>
      <c r="AI136" s="47" t="str">
        <f t="shared" si="17"/>
        <v/>
      </c>
      <c r="AJ136" s="42" t="str">
        <f>IF(O136="",(IF(P136="Ansicht","INSERT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B136 &amp;" ,NULL ,'',349,"&amp; VLOOKUP(Q136,'AnmeldeVSS-Attribute'!$A$43:$B$50,2,FALSE)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B136 &amp;" ,"&amp; O136 &amp;" ,"&amp; IF(Q136="ja","'1'",IF(Q136="nein","'0'","'"&amp;Q136&amp;"'")) &amp;","&amp;IF(P136="enthält",349,IF(P136="nicht leer",352,IF(P136="enthält nicht",350,IF(P136="leer",351,0)))) &amp;" ,NULL ,GetDate() ,'scrc' ,GetDate() ,'scrc')")</f>
        <v/>
      </c>
      <c r="AK13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7" spans="1:37" x14ac:dyDescent="0.25">
      <c r="A137" s="68"/>
      <c r="B137" s="68"/>
      <c r="C137" s="68"/>
      <c r="D137" s="68"/>
      <c r="E137" s="66"/>
      <c r="F137" s="68"/>
      <c r="G137" s="68"/>
      <c r="H137" s="68"/>
      <c r="I137" s="68"/>
      <c r="J137" s="68"/>
      <c r="K137" s="68"/>
      <c r="L137" s="68"/>
      <c r="M137" s="66"/>
      <c r="N137" s="66"/>
      <c r="O137" s="66"/>
      <c r="P137" s="66"/>
      <c r="Q137" s="68"/>
      <c r="R137" s="66"/>
      <c r="S137" s="66"/>
      <c r="T137" s="65"/>
      <c r="U137" s="65"/>
      <c r="V137" s="42"/>
      <c r="W137" s="42" t="e">
        <f>VLOOKUP($I137,'AnmeldeVSS-Attribute'!$A$2:$H$16,2,FALSE)</f>
        <v>#N/A</v>
      </c>
      <c r="X137" s="42" t="e">
        <f>VLOOKUP($I137,'AnmeldeVSS-Attribute'!$A$2:$H$16,3,FALSE)</f>
        <v>#N/A</v>
      </c>
      <c r="Y137" s="42" t="e">
        <f>VLOOKUP($I137,'AnmeldeVSS-Attribute'!$A$2:$H$16,4,FALSE)</f>
        <v>#N/A</v>
      </c>
      <c r="Z137" s="42" t="e">
        <f>VLOOKUP($I137,'AnmeldeVSS-Attribute'!$A$2:$H$16,5,FALSE)</f>
        <v>#N/A</v>
      </c>
      <c r="AA137" s="42" t="e">
        <f>VLOOKUP($I137,'AnmeldeVSS-Attribute'!$A$2:$H$16,6,FALSE)</f>
        <v>#N/A</v>
      </c>
      <c r="AB137" s="42" t="e">
        <f>VLOOKUP($I137,'AnmeldeVSS-Attribute'!$A$2:$H$16,7,FALSE)</f>
        <v>#N/A</v>
      </c>
      <c r="AC137" s="42" t="e">
        <f>IF(I137="Geldbetrag",J137,(IF(T137="",VLOOKUP($I137,'AnmeldeVSS-Attribute'!$A$2:$H$16,8,FALSE),T137)))</f>
        <v>#N/A</v>
      </c>
      <c r="AD137" s="42">
        <f>IF(S137="",0,VLOOKUP(S137,'AnmeldeVSS-Attribute'!$A$20:$B$26,2,FALSE))</f>
        <v>0</v>
      </c>
      <c r="AE137" s="42" t="e">
        <f t="shared" si="13"/>
        <v>#N/A</v>
      </c>
      <c r="AF137" s="42" t="str">
        <f t="shared" si="14"/>
        <v/>
      </c>
      <c r="AG137" s="42" t="str">
        <f t="shared" si="15"/>
        <v/>
      </c>
      <c r="AH137" s="47" t="str">
        <f t="shared" si="16"/>
        <v/>
      </c>
      <c r="AI137" s="47" t="str">
        <f t="shared" si="17"/>
        <v/>
      </c>
      <c r="AJ137" s="42" t="str">
        <f>IF(O137="",(IF(P137="Ansicht","INSERT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B137 &amp;" ,NULL ,'',349,"&amp; VLOOKUP(Q137,'AnmeldeVSS-Attribute'!$A$43:$B$50,2,FALSE)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B137 &amp;" ,"&amp; O137 &amp;" ,"&amp; IF(Q137="ja","'1'",IF(Q137="nein","'0'","'"&amp;Q137&amp;"'")) &amp;","&amp;IF(P137="enthält",349,IF(P137="nicht leer",352,IF(P137="enthält nicht",350,IF(P137="leer",351,0)))) &amp;" ,NULL ,GetDate() ,'scrc' ,GetDate() ,'scrc')")</f>
        <v/>
      </c>
      <c r="AK13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8" spans="1:37" x14ac:dyDescent="0.25">
      <c r="A138" s="68"/>
      <c r="B138" s="68"/>
      <c r="C138" s="68"/>
      <c r="D138" s="68"/>
      <c r="E138" s="66"/>
      <c r="F138" s="68"/>
      <c r="G138" s="68"/>
      <c r="H138" s="68"/>
      <c r="I138" s="68"/>
      <c r="J138" s="68"/>
      <c r="K138" s="68"/>
      <c r="L138" s="68"/>
      <c r="M138" s="66"/>
      <c r="N138" s="66"/>
      <c r="O138" s="66"/>
      <c r="P138" s="66"/>
      <c r="Q138" s="68"/>
      <c r="R138" s="66"/>
      <c r="S138" s="66"/>
      <c r="T138" s="65"/>
      <c r="U138" s="65"/>
      <c r="V138" s="42"/>
      <c r="W138" s="42" t="e">
        <f>VLOOKUP($I138,'AnmeldeVSS-Attribute'!$A$2:$H$16,2,FALSE)</f>
        <v>#N/A</v>
      </c>
      <c r="X138" s="42" t="e">
        <f>VLOOKUP($I138,'AnmeldeVSS-Attribute'!$A$2:$H$16,3,FALSE)</f>
        <v>#N/A</v>
      </c>
      <c r="Y138" s="42" t="e">
        <f>VLOOKUP($I138,'AnmeldeVSS-Attribute'!$A$2:$H$16,4,FALSE)</f>
        <v>#N/A</v>
      </c>
      <c r="Z138" s="42" t="e">
        <f>VLOOKUP($I138,'AnmeldeVSS-Attribute'!$A$2:$H$16,5,FALSE)</f>
        <v>#N/A</v>
      </c>
      <c r="AA138" s="42" t="e">
        <f>VLOOKUP($I138,'AnmeldeVSS-Attribute'!$A$2:$H$16,6,FALSE)</f>
        <v>#N/A</v>
      </c>
      <c r="AB138" s="42" t="e">
        <f>VLOOKUP($I138,'AnmeldeVSS-Attribute'!$A$2:$H$16,7,FALSE)</f>
        <v>#N/A</v>
      </c>
      <c r="AC138" s="42" t="e">
        <f>IF(I138="Geldbetrag",J138,(IF(T138="",VLOOKUP($I138,'AnmeldeVSS-Attribute'!$A$2:$H$16,8,FALSE),T138)))</f>
        <v>#N/A</v>
      </c>
      <c r="AD138" s="42">
        <f>IF(S138="",0,VLOOKUP(S138,'AnmeldeVSS-Attribute'!$A$20:$B$26,2,FALSE))</f>
        <v>0</v>
      </c>
      <c r="AE138" s="42" t="e">
        <f t="shared" si="13"/>
        <v>#N/A</v>
      </c>
      <c r="AF138" s="42" t="str">
        <f t="shared" si="14"/>
        <v/>
      </c>
      <c r="AG138" s="42" t="str">
        <f t="shared" si="15"/>
        <v/>
      </c>
      <c r="AH138" s="47" t="str">
        <f t="shared" si="16"/>
        <v/>
      </c>
      <c r="AI138" s="47" t="str">
        <f t="shared" si="17"/>
        <v/>
      </c>
      <c r="AJ138" s="42" t="str">
        <f>IF(O138="",(IF(P138="Ansicht","INSERT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B138 &amp;" ,NULL ,'',349,"&amp; VLOOKUP(Q138,'AnmeldeVSS-Attribute'!$A$43:$B$50,2,FALSE)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B138 &amp;" ,"&amp; O138 &amp;" ,"&amp; IF(Q138="ja","'1'",IF(Q138="nein","'0'","'"&amp;Q138&amp;"'")) &amp;","&amp;IF(P138="enthält",349,IF(P138="nicht leer",352,IF(P138="enthält nicht",350,IF(P138="leer",351,0)))) &amp;" ,NULL ,GetDate() ,'scrc' ,GetDate() ,'scrc')")</f>
        <v/>
      </c>
      <c r="AK138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39" spans="1:37" x14ac:dyDescent="0.25">
      <c r="A139" s="66"/>
      <c r="B139" s="63"/>
      <c r="C139" s="64"/>
      <c r="D139" s="64"/>
      <c r="E139" s="63"/>
      <c r="F139" s="63"/>
      <c r="G139" s="64"/>
      <c r="H139" s="64"/>
      <c r="I139" s="64"/>
      <c r="J139" s="63"/>
      <c r="K139" s="63"/>
      <c r="L139" s="63"/>
      <c r="M139" s="66"/>
      <c r="N139" s="63"/>
      <c r="O139" s="63"/>
      <c r="P139" s="63"/>
      <c r="Q139" s="64"/>
      <c r="R139" s="63"/>
      <c r="S139" s="63"/>
      <c r="T139" s="65"/>
      <c r="U139" s="65"/>
      <c r="V139" s="42"/>
      <c r="W139" s="42" t="e">
        <f>VLOOKUP($I139,'AnmeldeVSS-Attribute'!$A$2:$H$16,2,FALSE)</f>
        <v>#N/A</v>
      </c>
      <c r="X139" s="42" t="e">
        <f>VLOOKUP($I139,'AnmeldeVSS-Attribute'!$A$2:$H$16,3,FALSE)</f>
        <v>#N/A</v>
      </c>
      <c r="Y139" s="42" t="e">
        <f>VLOOKUP($I139,'AnmeldeVSS-Attribute'!$A$2:$H$16,4,FALSE)</f>
        <v>#N/A</v>
      </c>
      <c r="Z139" s="42" t="e">
        <f>VLOOKUP($I139,'AnmeldeVSS-Attribute'!$A$2:$H$16,5,FALSE)</f>
        <v>#N/A</v>
      </c>
      <c r="AA139" s="42" t="e">
        <f>VLOOKUP($I139,'AnmeldeVSS-Attribute'!$A$2:$H$16,6,FALSE)</f>
        <v>#N/A</v>
      </c>
      <c r="AB139" s="42" t="e">
        <f>VLOOKUP($I139,'AnmeldeVSS-Attribute'!$A$2:$H$16,7,FALSE)</f>
        <v>#N/A</v>
      </c>
      <c r="AC139" s="42" t="e">
        <f>IF(I139="Geldbetrag",J139,(IF(T139="",VLOOKUP($I139,'AnmeldeVSS-Attribute'!$A$2:$H$16,8,FALSE),T139)))</f>
        <v>#N/A</v>
      </c>
      <c r="AD139" s="42">
        <f>IF(S139="",0,VLOOKUP(S139,'AnmeldeVSS-Attribute'!$A$20:$B$26,2,FALSE))</f>
        <v>0</v>
      </c>
      <c r="AE139" s="42" t="e">
        <f t="shared" si="13"/>
        <v>#N/A</v>
      </c>
      <c r="AF139" s="42" t="str">
        <f t="shared" si="14"/>
        <v/>
      </c>
      <c r="AG139" s="42" t="str">
        <f t="shared" si="15"/>
        <v/>
      </c>
      <c r="AH139" s="47" t="str">
        <f t="shared" si="16"/>
        <v/>
      </c>
      <c r="AI139" s="47" t="str">
        <f t="shared" si="17"/>
        <v/>
      </c>
      <c r="AJ139" s="42" t="str">
        <f>IF(O139="",(IF(P139="Ansicht","INSERT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B139 &amp;" ,NULL ,'',349,"&amp; VLOOKUP(Q139,'AnmeldeVSS-Attribute'!$A$43:$B$50,2,FALSE)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B139 &amp;" ,"&amp; O139 &amp;" ,"&amp; IF(Q139="ja","'1'",IF(Q139="nein","'0'","'"&amp;Q139&amp;"'")) &amp;","&amp;IF(P139="enthält",349,IF(P139="nicht leer",352,IF(P139="enthält nicht",350,IF(P139="leer",351,0)))) &amp;" ,NULL ,GetDate() ,'scrc' ,GetDate() ,'scrc')")</f>
        <v/>
      </c>
      <c r="AK139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0" spans="1:37" x14ac:dyDescent="0.25">
      <c r="A140" s="66"/>
      <c r="B140" s="63"/>
      <c r="C140" s="64"/>
      <c r="D140" s="64"/>
      <c r="E140" s="63"/>
      <c r="F140" s="63"/>
      <c r="G140" s="64"/>
      <c r="H140" s="64"/>
      <c r="I140" s="64"/>
      <c r="J140" s="63"/>
      <c r="K140" s="63"/>
      <c r="L140" s="63"/>
      <c r="M140" s="63"/>
      <c r="N140" s="63"/>
      <c r="O140" s="63"/>
      <c r="P140" s="63"/>
      <c r="Q140" s="64"/>
      <c r="R140" s="63"/>
      <c r="S140" s="63"/>
      <c r="T140" s="65"/>
      <c r="U140" s="65"/>
      <c r="V140" s="42"/>
      <c r="W140" s="42" t="e">
        <f>VLOOKUP($I140,'AnmeldeVSS-Attribute'!$A$2:$H$16,2,FALSE)</f>
        <v>#N/A</v>
      </c>
      <c r="X140" s="42" t="e">
        <f>VLOOKUP($I140,'AnmeldeVSS-Attribute'!$A$2:$H$16,3,FALSE)</f>
        <v>#N/A</v>
      </c>
      <c r="Y140" s="42" t="e">
        <f>VLOOKUP($I140,'AnmeldeVSS-Attribute'!$A$2:$H$16,4,FALSE)</f>
        <v>#N/A</v>
      </c>
      <c r="Z140" s="42" t="e">
        <f>VLOOKUP($I140,'AnmeldeVSS-Attribute'!$A$2:$H$16,5,FALSE)</f>
        <v>#N/A</v>
      </c>
      <c r="AA140" s="42" t="e">
        <f>VLOOKUP($I140,'AnmeldeVSS-Attribute'!$A$2:$H$16,6,FALSE)</f>
        <v>#N/A</v>
      </c>
      <c r="AB140" s="42" t="e">
        <f>VLOOKUP($I140,'AnmeldeVSS-Attribute'!$A$2:$H$16,7,FALSE)</f>
        <v>#N/A</v>
      </c>
      <c r="AC140" s="42" t="e">
        <f>IF(I140="Geldbetrag",J140,(IF(T140="",VLOOKUP($I140,'AnmeldeVSS-Attribute'!$A$2:$H$16,8,FALSE),T140)))</f>
        <v>#N/A</v>
      </c>
      <c r="AD140" s="42">
        <f>IF(S140="",0,VLOOKUP(S140,'AnmeldeVSS-Attribute'!$A$20:$B$26,2,FALSE))</f>
        <v>0</v>
      </c>
      <c r="AE140" s="42" t="e">
        <f t="shared" si="13"/>
        <v>#N/A</v>
      </c>
      <c r="AF140" s="42" t="str">
        <f t="shared" si="14"/>
        <v/>
      </c>
      <c r="AG140" s="42" t="str">
        <f t="shared" si="15"/>
        <v/>
      </c>
      <c r="AH140" s="47" t="str">
        <f t="shared" si="16"/>
        <v/>
      </c>
      <c r="AI140" s="47" t="str">
        <f t="shared" si="17"/>
        <v/>
      </c>
      <c r="AJ140" s="42" t="str">
        <f>IF(O140="",(IF(P140="Ansicht","INSERT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B140 &amp;" ,NULL ,'',349,"&amp; VLOOKUP(Q140,'AnmeldeVSS-Attribute'!$A$43:$B$50,2,FALSE)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B140 &amp;" ,"&amp; O140 &amp;" ,"&amp; IF(Q140="ja","'1'",IF(Q140="nein","'0'","'"&amp;Q140&amp;"'")) &amp;","&amp;IF(P140="enthält",349,IF(P140="nicht leer",352,IF(P140="enthält nicht",350,IF(P140="leer",351,0)))) &amp;" ,NULL ,GetDate() ,'scrc' ,GetDate() ,'scrc')")</f>
        <v/>
      </c>
      <c r="AK140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1" spans="1:37" ht="16.5" customHeight="1" x14ac:dyDescent="0.25">
      <c r="A141" s="66"/>
      <c r="B141" s="63"/>
      <c r="C141" s="64"/>
      <c r="D141" s="64"/>
      <c r="E141" s="63"/>
      <c r="F141" s="63"/>
      <c r="G141" s="64"/>
      <c r="H141" s="64"/>
      <c r="I141" s="64"/>
      <c r="J141" s="63"/>
      <c r="K141" s="63"/>
      <c r="L141" s="63"/>
      <c r="M141" s="63"/>
      <c r="N141" s="63"/>
      <c r="O141" s="63"/>
      <c r="P141" s="63"/>
      <c r="Q141" s="64"/>
      <c r="R141" s="63"/>
      <c r="S141" s="63"/>
      <c r="T141" s="65"/>
      <c r="U141" s="65"/>
      <c r="V141" s="42"/>
      <c r="W141" s="42" t="e">
        <f>VLOOKUP($I141,'AnmeldeVSS-Attribute'!$A$2:$H$16,2,FALSE)</f>
        <v>#N/A</v>
      </c>
      <c r="X141" s="42" t="e">
        <f>VLOOKUP($I141,'AnmeldeVSS-Attribute'!$A$2:$H$16,3,FALSE)</f>
        <v>#N/A</v>
      </c>
      <c r="Y141" s="42" t="e">
        <f>VLOOKUP($I141,'AnmeldeVSS-Attribute'!$A$2:$H$16,4,FALSE)</f>
        <v>#N/A</v>
      </c>
      <c r="Z141" s="42" t="e">
        <f>VLOOKUP($I141,'AnmeldeVSS-Attribute'!$A$2:$H$16,5,FALSE)</f>
        <v>#N/A</v>
      </c>
      <c r="AA141" s="42" t="e">
        <f>VLOOKUP($I141,'AnmeldeVSS-Attribute'!$A$2:$H$16,6,FALSE)</f>
        <v>#N/A</v>
      </c>
      <c r="AB141" s="42" t="e">
        <f>VLOOKUP($I141,'AnmeldeVSS-Attribute'!$A$2:$H$16,7,FALSE)</f>
        <v>#N/A</v>
      </c>
      <c r="AC141" s="42" t="e">
        <f>IF(I141="Geldbetrag",J141,(IF(T141="",VLOOKUP($I141,'AnmeldeVSS-Attribute'!$A$2:$H$16,8,FALSE),T141)))</f>
        <v>#N/A</v>
      </c>
      <c r="AD141" s="42">
        <f>IF(S141="",0,VLOOKUP(S141,'AnmeldeVSS-Attribute'!$A$20:$B$26,2,FALSE))</f>
        <v>0</v>
      </c>
      <c r="AE141" s="42" t="e">
        <f t="shared" si="13"/>
        <v>#N/A</v>
      </c>
      <c r="AF141" s="42" t="str">
        <f t="shared" si="14"/>
        <v/>
      </c>
      <c r="AG141" s="42" t="str">
        <f t="shared" si="15"/>
        <v/>
      </c>
      <c r="AH141" s="47" t="str">
        <f t="shared" si="16"/>
        <v/>
      </c>
      <c r="AI141" s="47" t="str">
        <f t="shared" si="17"/>
        <v/>
      </c>
      <c r="AJ141" s="42" t="str">
        <f>IF(O141="",(IF(P141="Ansicht","INSERT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B141 &amp;" ,NULL ,'',349,"&amp; VLOOKUP(Q141,'AnmeldeVSS-Attribute'!$A$43:$B$50,2,FALSE)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B141 &amp;" ,"&amp; O141 &amp;" ,"&amp; IF(Q141="ja","'1'",IF(Q141="nein","'0'","'"&amp;Q141&amp;"'")) &amp;","&amp;IF(P141="enthält",349,IF(P141="nicht leer",352,IF(P141="enthält nicht",350,IF(P141="leer",351,0)))) &amp;" ,NULL ,GetDate() ,'scrc' ,GetDate() ,'scrc')")</f>
        <v/>
      </c>
      <c r="AK141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2" spans="1:37" ht="16.5" customHeight="1" x14ac:dyDescent="0.25">
      <c r="A142" s="66"/>
      <c r="B142" s="63"/>
      <c r="C142" s="64"/>
      <c r="D142" s="64"/>
      <c r="E142" s="63"/>
      <c r="F142" s="63"/>
      <c r="G142" s="64"/>
      <c r="H142" s="64"/>
      <c r="I142" s="64"/>
      <c r="J142" s="63"/>
      <c r="K142" s="63"/>
      <c r="L142" s="63"/>
      <c r="M142" s="63"/>
      <c r="N142" s="63"/>
      <c r="O142" s="63"/>
      <c r="P142" s="63"/>
      <c r="Q142" s="64"/>
      <c r="R142" s="63"/>
      <c r="S142" s="63"/>
      <c r="T142" s="65"/>
      <c r="U142" s="65"/>
      <c r="V142" s="42"/>
      <c r="W142" s="42" t="e">
        <f>VLOOKUP($I142,'AnmeldeVSS-Attribute'!$A$2:$H$16,2,FALSE)</f>
        <v>#N/A</v>
      </c>
      <c r="X142" s="42" t="e">
        <f>VLOOKUP($I142,'AnmeldeVSS-Attribute'!$A$2:$H$16,3,FALSE)</f>
        <v>#N/A</v>
      </c>
      <c r="Y142" s="42" t="e">
        <f>VLOOKUP($I142,'AnmeldeVSS-Attribute'!$A$2:$H$16,4,FALSE)</f>
        <v>#N/A</v>
      </c>
      <c r="Z142" s="42" t="e">
        <f>VLOOKUP($I142,'AnmeldeVSS-Attribute'!$A$2:$H$16,5,FALSE)</f>
        <v>#N/A</v>
      </c>
      <c r="AA142" s="42" t="e">
        <f>VLOOKUP($I142,'AnmeldeVSS-Attribute'!$A$2:$H$16,6,FALSE)</f>
        <v>#N/A</v>
      </c>
      <c r="AB142" s="42" t="e">
        <f>VLOOKUP($I142,'AnmeldeVSS-Attribute'!$A$2:$H$16,7,FALSE)</f>
        <v>#N/A</v>
      </c>
      <c r="AC142" s="42" t="e">
        <f>IF(I142="Geldbetrag",J142,(IF(T142="",VLOOKUP($I142,'AnmeldeVSS-Attribute'!$A$2:$H$16,8,FALSE),T142)))</f>
        <v>#N/A</v>
      </c>
      <c r="AD142" s="42">
        <f>IF(S142="",0,VLOOKUP(S142,'AnmeldeVSS-Attribute'!$A$20:$B$26,2,FALSE))</f>
        <v>0</v>
      </c>
      <c r="AE142" s="42" t="e">
        <f t="shared" si="13"/>
        <v>#N/A</v>
      </c>
      <c r="AF142" s="42" t="str">
        <f t="shared" si="14"/>
        <v/>
      </c>
      <c r="AG142" s="42" t="str">
        <f t="shared" si="15"/>
        <v/>
      </c>
      <c r="AH142" s="47" t="str">
        <f t="shared" si="16"/>
        <v/>
      </c>
      <c r="AI142" s="47" t="str">
        <f t="shared" si="17"/>
        <v/>
      </c>
      <c r="AJ142" s="42" t="str">
        <f>IF(O142="",(IF(P142="Ansicht","INSERT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B142 &amp;" ,NULL ,'',349,"&amp; VLOOKUP(Q142,'AnmeldeVSS-Attribute'!$A$43:$B$50,2,FALSE)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B142 &amp;" ,"&amp; O142 &amp;" ,"&amp; IF(Q142="ja","'1'",IF(Q142="nein","'0'","'"&amp;Q142&amp;"'")) &amp;","&amp;IF(P142="enthält",349,IF(P142="nicht leer",352,IF(P142="enthält nicht",350,IF(P142="leer",351,0)))) &amp;" ,NULL ,GetDate() ,'scrc' ,GetDate() ,'scrc')")</f>
        <v/>
      </c>
      <c r="AK142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3" spans="1:37" ht="16.5" customHeight="1" x14ac:dyDescent="0.25">
      <c r="A143" s="66"/>
      <c r="B143" s="63"/>
      <c r="C143" s="64"/>
      <c r="D143" s="64"/>
      <c r="E143" s="63"/>
      <c r="F143" s="63"/>
      <c r="G143" s="64"/>
      <c r="H143" s="64"/>
      <c r="I143" s="64"/>
      <c r="J143" s="63"/>
      <c r="K143" s="63"/>
      <c r="L143" s="63"/>
      <c r="M143" s="63"/>
      <c r="N143" s="63"/>
      <c r="O143" s="63"/>
      <c r="P143" s="63"/>
      <c r="Q143" s="64"/>
      <c r="R143" s="63"/>
      <c r="S143" s="63"/>
      <c r="T143" s="65"/>
      <c r="U143" s="65"/>
      <c r="V143" s="42"/>
      <c r="W143" s="42" t="e">
        <f>VLOOKUP($I143,'AnmeldeVSS-Attribute'!$A$2:$H$16,2,FALSE)</f>
        <v>#N/A</v>
      </c>
      <c r="X143" s="42" t="e">
        <f>VLOOKUP($I143,'AnmeldeVSS-Attribute'!$A$2:$H$16,3,FALSE)</f>
        <v>#N/A</v>
      </c>
      <c r="Y143" s="42" t="e">
        <f>VLOOKUP($I143,'AnmeldeVSS-Attribute'!$A$2:$H$16,4,FALSE)</f>
        <v>#N/A</v>
      </c>
      <c r="Z143" s="42" t="e">
        <f>VLOOKUP($I143,'AnmeldeVSS-Attribute'!$A$2:$H$16,5,FALSE)</f>
        <v>#N/A</v>
      </c>
      <c r="AA143" s="42" t="e">
        <f>VLOOKUP($I143,'AnmeldeVSS-Attribute'!$A$2:$H$16,6,FALSE)</f>
        <v>#N/A</v>
      </c>
      <c r="AB143" s="42" t="e">
        <f>VLOOKUP($I143,'AnmeldeVSS-Attribute'!$A$2:$H$16,7,FALSE)</f>
        <v>#N/A</v>
      </c>
      <c r="AC143" s="42" t="e">
        <f>IF(I143="Geldbetrag",J143,(IF(T143="",VLOOKUP($I143,'AnmeldeVSS-Attribute'!$A$2:$H$16,8,FALSE),T143)))</f>
        <v>#N/A</v>
      </c>
      <c r="AD143" s="42">
        <f>IF(S143="",0,VLOOKUP(S143,'AnmeldeVSS-Attribute'!$A$20:$B$26,2,FALSE))</f>
        <v>0</v>
      </c>
      <c r="AE143" s="42" t="e">
        <f t="shared" si="13"/>
        <v>#N/A</v>
      </c>
      <c r="AF143" s="42" t="str">
        <f t="shared" si="14"/>
        <v/>
      </c>
      <c r="AG143" s="42" t="str">
        <f t="shared" si="15"/>
        <v/>
      </c>
      <c r="AH143" s="47" t="str">
        <f t="shared" si="16"/>
        <v/>
      </c>
      <c r="AI143" s="47" t="str">
        <f t="shared" si="17"/>
        <v/>
      </c>
      <c r="AJ143" s="42" t="str">
        <f>IF(O143="",(IF(P143="Ansicht","INSERT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B143 &amp;" ,NULL ,'',349,"&amp; VLOOKUP(Q143,'AnmeldeVSS-Attribute'!$A$43:$B$50,2,FALSE)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B143 &amp;" ,"&amp; O143 &amp;" ,"&amp; IF(Q143="ja","'1'",IF(Q143="nein","'0'","'"&amp;Q143&amp;"'")) &amp;","&amp;IF(P143="enthält",349,IF(P143="nicht leer",352,IF(P143="enthält nicht",350,IF(P143="leer",351,0)))) &amp;" ,NULL ,GetDate() ,'scrc' ,GetDate() ,'scrc')")</f>
        <v/>
      </c>
      <c r="AK143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4" spans="1:37" ht="16.5" customHeight="1" x14ac:dyDescent="0.25">
      <c r="A144" s="66"/>
      <c r="B144" s="63"/>
      <c r="C144" s="64"/>
      <c r="D144" s="64"/>
      <c r="E144" s="63"/>
      <c r="F144" s="63"/>
      <c r="G144" s="64"/>
      <c r="H144" s="64"/>
      <c r="I144" s="64"/>
      <c r="J144" s="63"/>
      <c r="K144" s="63"/>
      <c r="L144" s="63"/>
      <c r="M144" s="63"/>
      <c r="N144" s="63"/>
      <c r="O144" s="63"/>
      <c r="P144" s="63"/>
      <c r="Q144" s="64"/>
      <c r="R144" s="63"/>
      <c r="S144" s="63"/>
      <c r="T144" s="65"/>
      <c r="U144" s="65"/>
      <c r="V144" s="42"/>
      <c r="W144" s="42" t="e">
        <f>VLOOKUP($I144,'AnmeldeVSS-Attribute'!$A$2:$H$16,2,FALSE)</f>
        <v>#N/A</v>
      </c>
      <c r="X144" s="42" t="e">
        <f>VLOOKUP($I144,'AnmeldeVSS-Attribute'!$A$2:$H$16,3,FALSE)</f>
        <v>#N/A</v>
      </c>
      <c r="Y144" s="42" t="e">
        <f>VLOOKUP($I144,'AnmeldeVSS-Attribute'!$A$2:$H$16,4,FALSE)</f>
        <v>#N/A</v>
      </c>
      <c r="Z144" s="42" t="e">
        <f>VLOOKUP($I144,'AnmeldeVSS-Attribute'!$A$2:$H$16,5,FALSE)</f>
        <v>#N/A</v>
      </c>
      <c r="AA144" s="42" t="e">
        <f>VLOOKUP($I144,'AnmeldeVSS-Attribute'!$A$2:$H$16,6,FALSE)</f>
        <v>#N/A</v>
      </c>
      <c r="AB144" s="42" t="e">
        <f>VLOOKUP($I144,'AnmeldeVSS-Attribute'!$A$2:$H$16,7,FALSE)</f>
        <v>#N/A</v>
      </c>
      <c r="AC144" s="42" t="e">
        <f>IF(I144="Geldbetrag",J144,(IF(T144="",VLOOKUP($I144,'AnmeldeVSS-Attribute'!$A$2:$H$16,8,FALSE),T144)))</f>
        <v>#N/A</v>
      </c>
      <c r="AD144" s="42">
        <f>IF(S144="",0,VLOOKUP(S144,'AnmeldeVSS-Attribute'!$A$20:$B$26,2,FALSE))</f>
        <v>0</v>
      </c>
      <c r="AE144" s="42" t="e">
        <f t="shared" si="13"/>
        <v>#N/A</v>
      </c>
      <c r="AF144" s="42" t="str">
        <f t="shared" si="14"/>
        <v/>
      </c>
      <c r="AG144" s="42" t="str">
        <f t="shared" si="15"/>
        <v/>
      </c>
      <c r="AH144" s="47" t="str">
        <f t="shared" si="16"/>
        <v/>
      </c>
      <c r="AI144" s="47" t="str">
        <f t="shared" si="17"/>
        <v/>
      </c>
      <c r="AJ144" s="42" t="str">
        <f>IF(O144="",(IF(P144="Ansicht","INSERT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B144 &amp;" ,NULL ,'',349,"&amp; VLOOKUP(Q144,'AnmeldeVSS-Attribute'!$A$43:$B$50,2,FALSE)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B144 &amp;" ,"&amp; O144 &amp;" ,"&amp; IF(Q144="ja","'1'",IF(Q144="nein","'0'","'"&amp;Q144&amp;"'")) &amp;","&amp;IF(P144="enthält",349,IF(P144="nicht leer",352,IF(P144="enthält nicht",350,IF(P144="leer",351,0)))) &amp;" ,NULL ,GetDate() ,'scrc' ,GetDate() ,'scrc')")</f>
        <v/>
      </c>
      <c r="AK144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5" spans="1:37" x14ac:dyDescent="0.25">
      <c r="A145" s="66"/>
      <c r="B145" s="63"/>
      <c r="C145" s="64"/>
      <c r="D145" s="64"/>
      <c r="E145" s="63"/>
      <c r="F145" s="63"/>
      <c r="G145" s="64"/>
      <c r="H145" s="64"/>
      <c r="I145" s="64"/>
      <c r="J145" s="63"/>
      <c r="K145" s="63"/>
      <c r="L145" s="63"/>
      <c r="M145" s="66"/>
      <c r="N145" s="63"/>
      <c r="O145" s="63"/>
      <c r="P145" s="63"/>
      <c r="Q145" s="64"/>
      <c r="R145" s="63"/>
      <c r="S145" s="63"/>
      <c r="T145" s="65"/>
      <c r="U145" s="65"/>
      <c r="V145" s="42"/>
      <c r="W145" s="42" t="e">
        <f>VLOOKUP($I145,'AnmeldeVSS-Attribute'!$A$2:$H$16,2,FALSE)</f>
        <v>#N/A</v>
      </c>
      <c r="X145" s="42" t="e">
        <f>VLOOKUP($I145,'AnmeldeVSS-Attribute'!$A$2:$H$16,3,FALSE)</f>
        <v>#N/A</v>
      </c>
      <c r="Y145" s="42" t="e">
        <f>VLOOKUP($I145,'AnmeldeVSS-Attribute'!$A$2:$H$16,4,FALSE)</f>
        <v>#N/A</v>
      </c>
      <c r="Z145" s="42" t="e">
        <f>VLOOKUP($I145,'AnmeldeVSS-Attribute'!$A$2:$H$16,5,FALSE)</f>
        <v>#N/A</v>
      </c>
      <c r="AA145" s="42" t="e">
        <f>VLOOKUP($I145,'AnmeldeVSS-Attribute'!$A$2:$H$16,6,FALSE)</f>
        <v>#N/A</v>
      </c>
      <c r="AB145" s="42" t="e">
        <f>VLOOKUP($I145,'AnmeldeVSS-Attribute'!$A$2:$H$16,7,FALSE)</f>
        <v>#N/A</v>
      </c>
      <c r="AC145" s="42" t="e">
        <f>IF(I145="Geldbetrag",J145,(IF(T145="",VLOOKUP($I145,'AnmeldeVSS-Attribute'!$A$2:$H$16,8,FALSE),T145)))</f>
        <v>#N/A</v>
      </c>
      <c r="AD145" s="42">
        <f>IF(S145="",0,VLOOKUP(S145,'AnmeldeVSS-Attribute'!$A$20:$B$26,2,FALSE))</f>
        <v>0</v>
      </c>
      <c r="AE145" s="42" t="e">
        <f t="shared" si="13"/>
        <v>#N/A</v>
      </c>
      <c r="AF145" s="42" t="str">
        <f t="shared" si="14"/>
        <v/>
      </c>
      <c r="AG145" s="42" t="str">
        <f t="shared" si="15"/>
        <v/>
      </c>
      <c r="AH145" s="47" t="str">
        <f t="shared" si="16"/>
        <v/>
      </c>
      <c r="AI145" s="47" t="str">
        <f t="shared" si="17"/>
        <v/>
      </c>
      <c r="AJ145" s="42" t="str">
        <f>IF(O145="",(IF(P145="Ansicht","INSERT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B145 &amp;" ,NULL ,'',349,"&amp; VLOOKUP(Q145,'AnmeldeVSS-Attribute'!$A$43:$B$50,2,FALSE)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B145 &amp;" ,"&amp; O145 &amp;" ,"&amp; IF(Q145="ja","'1'",IF(Q145="nein","'0'","'"&amp;Q145&amp;"'")) &amp;","&amp;IF(P145="enthält",349,IF(P145="nicht leer",352,IF(P145="enthält nicht",350,IF(P145="leer",351,0)))) &amp;" ,NULL ,GetDate() ,'scrc' ,GetDate() ,'scrc')")</f>
        <v/>
      </c>
      <c r="AK145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6" spans="1:37" x14ac:dyDescent="0.25">
      <c r="A146" s="66"/>
      <c r="B146" s="63"/>
      <c r="C146" s="64"/>
      <c r="D146" s="64"/>
      <c r="E146" s="63"/>
      <c r="F146" s="63"/>
      <c r="G146" s="64"/>
      <c r="H146" s="64"/>
      <c r="I146" s="64"/>
      <c r="J146" s="63"/>
      <c r="K146" s="63"/>
      <c r="L146" s="63"/>
      <c r="M146" s="63"/>
      <c r="N146" s="63"/>
      <c r="O146" s="63"/>
      <c r="P146" s="63"/>
      <c r="Q146" s="64"/>
      <c r="R146" s="63"/>
      <c r="S146" s="63"/>
      <c r="T146" s="65"/>
      <c r="U146" s="65"/>
      <c r="V146" s="42"/>
      <c r="W146" s="42" t="e">
        <f>VLOOKUP($I146,'AnmeldeVSS-Attribute'!$A$2:$H$16,2,FALSE)</f>
        <v>#N/A</v>
      </c>
      <c r="X146" s="42" t="e">
        <f>VLOOKUP($I146,'AnmeldeVSS-Attribute'!$A$2:$H$16,3,FALSE)</f>
        <v>#N/A</v>
      </c>
      <c r="Y146" s="42" t="e">
        <f>VLOOKUP($I146,'AnmeldeVSS-Attribute'!$A$2:$H$16,4,FALSE)</f>
        <v>#N/A</v>
      </c>
      <c r="Z146" s="42" t="e">
        <f>VLOOKUP($I146,'AnmeldeVSS-Attribute'!$A$2:$H$16,5,FALSE)</f>
        <v>#N/A</v>
      </c>
      <c r="AA146" s="42" t="e">
        <f>VLOOKUP($I146,'AnmeldeVSS-Attribute'!$A$2:$H$16,6,FALSE)</f>
        <v>#N/A</v>
      </c>
      <c r="AB146" s="42" t="e">
        <f>VLOOKUP($I146,'AnmeldeVSS-Attribute'!$A$2:$H$16,7,FALSE)</f>
        <v>#N/A</v>
      </c>
      <c r="AC146" s="42" t="e">
        <f>IF(I146="Geldbetrag",J146,(IF(T146="",VLOOKUP($I146,'AnmeldeVSS-Attribute'!$A$2:$H$16,8,FALSE),T146)))</f>
        <v>#N/A</v>
      </c>
      <c r="AD146" s="42">
        <f>IF(S146="",0,VLOOKUP(S146,'AnmeldeVSS-Attribute'!$A$20:$B$26,2,FALSE))</f>
        <v>0</v>
      </c>
      <c r="AE146" s="42" t="e">
        <f t="shared" si="13"/>
        <v>#N/A</v>
      </c>
      <c r="AF146" s="42" t="str">
        <f t="shared" si="14"/>
        <v/>
      </c>
      <c r="AG146" s="42" t="str">
        <f t="shared" si="15"/>
        <v/>
      </c>
      <c r="AH146" s="47" t="str">
        <f t="shared" si="16"/>
        <v/>
      </c>
      <c r="AI146" s="47" t="str">
        <f t="shared" si="17"/>
        <v/>
      </c>
      <c r="AJ146" s="42" t="str">
        <f>IF(O146="",(IF(P146="Ansicht","INSERT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B146 &amp;" ,NULL ,'',349,"&amp; VLOOKUP(Q146,'AnmeldeVSS-Attribute'!$A$43:$B$50,2,FALSE)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B146 &amp;" ,"&amp; O146 &amp;" ,"&amp; IF(Q146="ja","'1'",IF(Q146="nein","'0'","'"&amp;Q146&amp;"'")) &amp;","&amp;IF(P146="enthält",349,IF(P146="nicht leer",352,IF(P146="enthält nicht",350,IF(P146="leer",351,0)))) &amp;" ,NULL ,GetDate() ,'scrc' ,GetDate() ,'scrc')")</f>
        <v/>
      </c>
      <c r="AK146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7" spans="1:37" x14ac:dyDescent="0.25">
      <c r="A147" s="66"/>
      <c r="B147" s="63"/>
      <c r="C147" s="64"/>
      <c r="D147" s="64"/>
      <c r="E147" s="63"/>
      <c r="F147" s="63"/>
      <c r="G147" s="64"/>
      <c r="H147" s="64"/>
      <c r="I147" s="64"/>
      <c r="J147" s="63"/>
      <c r="K147" s="63"/>
      <c r="L147" s="63"/>
      <c r="M147" s="63"/>
      <c r="N147" s="63"/>
      <c r="O147" s="63"/>
      <c r="P147" s="63"/>
      <c r="Q147" s="64"/>
      <c r="R147" s="63"/>
      <c r="S147" s="63"/>
      <c r="T147" s="69"/>
      <c r="U147" s="69"/>
      <c r="V147" s="42"/>
      <c r="W147" s="42" t="e">
        <f>VLOOKUP($I147,'AnmeldeVSS-Attribute'!$A$2:$H$16,2,FALSE)</f>
        <v>#N/A</v>
      </c>
      <c r="X147" s="42" t="e">
        <f>VLOOKUP($I147,'AnmeldeVSS-Attribute'!$A$2:$H$16,3,FALSE)</f>
        <v>#N/A</v>
      </c>
      <c r="Y147" s="42" t="e">
        <f>VLOOKUP($I147,'AnmeldeVSS-Attribute'!$A$2:$H$16,4,FALSE)</f>
        <v>#N/A</v>
      </c>
      <c r="Z147" s="42" t="e">
        <f>VLOOKUP($I147,'AnmeldeVSS-Attribute'!$A$2:$H$16,5,FALSE)</f>
        <v>#N/A</v>
      </c>
      <c r="AA147" s="42" t="e">
        <f>VLOOKUP($I147,'AnmeldeVSS-Attribute'!$A$2:$H$16,6,FALSE)</f>
        <v>#N/A</v>
      </c>
      <c r="AB147" s="42" t="e">
        <f>VLOOKUP($I147,'AnmeldeVSS-Attribute'!$A$2:$H$16,7,FALSE)</f>
        <v>#N/A</v>
      </c>
      <c r="AC147" s="42" t="e">
        <f>IF(I147="Geldbetrag",J147,(IF(T147="",VLOOKUP($I147,'AnmeldeVSS-Attribute'!$A$2:$H$16,8,FALSE),T147)))</f>
        <v>#N/A</v>
      </c>
      <c r="AD147" s="42">
        <f>IF(S147="",0,VLOOKUP(S147,'AnmeldeVSS-Attribute'!$A$20:$B$26,2,FALSE))</f>
        <v>0</v>
      </c>
      <c r="AE147" s="42" t="e">
        <f t="shared" si="13"/>
        <v>#N/A</v>
      </c>
      <c r="AF147" s="42" t="str">
        <f t="shared" si="14"/>
        <v/>
      </c>
      <c r="AG147" s="42" t="str">
        <f t="shared" si="15"/>
        <v/>
      </c>
      <c r="AH147" s="47" t="str">
        <f t="shared" si="16"/>
        <v/>
      </c>
      <c r="AI147" s="47" t="str">
        <f t="shared" si="17"/>
        <v/>
      </c>
      <c r="AJ147" s="42" t="str">
        <f>IF(O147="",(IF(P147="Ansicht","INSERT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B147 &amp;" ,NULL ,'',349,"&amp; VLOOKUP(Q147,'AnmeldeVSS-Attribute'!$A$43:$B$50,2,FALSE)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B147 &amp;" ,"&amp; O147 &amp;" ,"&amp; IF(Q147="ja","'1'",IF(Q147="nein","'0'","'"&amp;Q147&amp;"'")) &amp;","&amp;IF(P147="enthält",349,IF(P147="nicht leer",352,IF(P147="enthält nicht",350,IF(P147="leer",351,0)))) &amp;" ,NULL ,GetDate() ,'scrc' ,GetDate() ,'scrc')")</f>
        <v/>
      </c>
      <c r="AK147" s="48" t="str">
        <f t="shared" si="1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8" spans="1:37" s="35" customFormat="1" x14ac:dyDescent="0.25">
      <c r="A148" s="66"/>
      <c r="B148" s="63"/>
      <c r="C148" s="64"/>
      <c r="D148" s="64"/>
      <c r="E148" s="63"/>
      <c r="F148" s="63"/>
      <c r="G148" s="64"/>
      <c r="H148" s="64"/>
      <c r="I148" s="64"/>
      <c r="J148" s="63"/>
      <c r="K148" s="63"/>
      <c r="L148" s="63"/>
      <c r="M148" s="63"/>
      <c r="N148" s="63"/>
      <c r="O148" s="63"/>
      <c r="P148" s="63"/>
      <c r="Q148" s="64"/>
      <c r="R148" s="63"/>
      <c r="S148" s="63"/>
      <c r="T148" s="33"/>
      <c r="U148" s="33"/>
      <c r="W148" s="42" t="e">
        <f>VLOOKUP($I148,'AnmeldeVSS-Attribute'!$A$2:$H$16,2,FALSE)</f>
        <v>#N/A</v>
      </c>
      <c r="X148" s="42" t="e">
        <f>VLOOKUP($I148,'AnmeldeVSS-Attribute'!$A$2:$H$16,3,FALSE)</f>
        <v>#N/A</v>
      </c>
      <c r="Y148" s="42" t="e">
        <f>VLOOKUP($I148,'AnmeldeVSS-Attribute'!$A$2:$H$16,4,FALSE)</f>
        <v>#N/A</v>
      </c>
      <c r="Z148" s="42" t="e">
        <f>VLOOKUP($I148,'AnmeldeVSS-Attribute'!$A$2:$H$16,5,FALSE)</f>
        <v>#N/A</v>
      </c>
      <c r="AA148" s="42" t="e">
        <f>VLOOKUP($I148,'AnmeldeVSS-Attribute'!$A$2:$H$16,6,FALSE)</f>
        <v>#N/A</v>
      </c>
      <c r="AB148" s="42" t="e">
        <f>VLOOKUP($I148,'AnmeldeVSS-Attribute'!$A$2:$H$16,7,FALSE)</f>
        <v>#N/A</v>
      </c>
      <c r="AC148" s="42" t="e">
        <f>IF(I148="Geldbetrag",J148,(IF(T148="",VLOOKUP($I148,'AnmeldeVSS-Attribute'!$A$2:$H$16,8,FALSE),T148)))</f>
        <v>#N/A</v>
      </c>
      <c r="AD148" s="42">
        <f>IF(S148="",0,VLOOKUP(S148,'AnmeldeVSS-Attribute'!$A$20:$B$26,2,FALSE))</f>
        <v>0</v>
      </c>
      <c r="AE148" s="42" t="e">
        <f t="shared" si="13"/>
        <v>#N/A</v>
      </c>
      <c r="AF148" s="42" t="str">
        <f t="shared" si="14"/>
        <v/>
      </c>
      <c r="AG148" s="42" t="str">
        <f t="shared" si="15"/>
        <v/>
      </c>
      <c r="AH148" s="47" t="str">
        <f t="shared" si="16"/>
        <v/>
      </c>
      <c r="AI148" s="47" t="str">
        <f t="shared" si="17"/>
        <v/>
      </c>
      <c r="AJ148" s="42" t="str">
        <f>IF(O148="",(IF(P148="Ansicht","INSERT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B148 &amp;" ,NULL ,'',349,"&amp; VLOOKUP(Q148,'AnmeldeVSS-Attribute'!$A$43:$B$50,2,FALSE)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B148 &amp;" ,"&amp; O148 &amp;" ,"&amp; IF(Q148="ja","'1'",IF(Q148="nein","'0'","'"&amp;Q148&amp;"'")) &amp;","&amp;IF(P148="enthält",349,IF(P148="nicht leer",352,IF(P148="enthält nicht",350,IF(P148="leer",351,0)))) &amp;" ,NULL ,GetDate() ,'scrc' ,GetDate() ,'scrc')")</f>
        <v/>
      </c>
      <c r="AK148" s="48" t="str">
        <f t="shared" ref="AK148:AK172" si="18">CONCATENATE("update tblAnmeldeVSS set AnmeldeVSSOTUseLegacyRowSource = 1, AnmeldeVssOTUseLegacyValueCalculation = 1, AnmeldeVSSRowSource='","Select ''",SUBSTITUTE(J148,",","'' where @kontextidlanguage = 1 union select ''"),"'' where @kontextidlanguage = 1 ","union select ''",SUBSTITUTE(K148,",","'' where @kontextidlanguage = 133 union select ''"),"'' where @kontextidlanguage = 133'"," where IDAnmeldeVSS ="&amp;B148&amp;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49" spans="1:37" s="35" customFormat="1" x14ac:dyDescent="0.25">
      <c r="A149" s="66"/>
      <c r="B149" s="63"/>
      <c r="C149" s="64"/>
      <c r="D149" s="64"/>
      <c r="E149" s="63"/>
      <c r="F149" s="63"/>
      <c r="G149" s="64"/>
      <c r="H149" s="64"/>
      <c r="I149" s="64"/>
      <c r="J149" s="63"/>
      <c r="K149" s="63"/>
      <c r="L149" s="63"/>
      <c r="M149" s="63"/>
      <c r="N149" s="63"/>
      <c r="O149" s="63"/>
      <c r="P149" s="63"/>
      <c r="Q149" s="64"/>
      <c r="R149" s="63"/>
      <c r="S149" s="63"/>
      <c r="T149" s="33"/>
      <c r="U149" s="33"/>
      <c r="V149" s="34"/>
      <c r="W149" s="42" t="e">
        <f>VLOOKUP($I149,'AnmeldeVSS-Attribute'!$A$2:$H$16,2,FALSE)</f>
        <v>#N/A</v>
      </c>
      <c r="X149" s="42" t="e">
        <f>VLOOKUP($I149,'AnmeldeVSS-Attribute'!$A$2:$H$16,3,FALSE)</f>
        <v>#N/A</v>
      </c>
      <c r="Y149" s="42" t="e">
        <f>VLOOKUP($I149,'AnmeldeVSS-Attribute'!$A$2:$H$16,4,FALSE)</f>
        <v>#N/A</v>
      </c>
      <c r="Z149" s="42" t="e">
        <f>VLOOKUP($I149,'AnmeldeVSS-Attribute'!$A$2:$H$16,5,FALSE)</f>
        <v>#N/A</v>
      </c>
      <c r="AA149" s="42" t="e">
        <f>VLOOKUP($I149,'AnmeldeVSS-Attribute'!$A$2:$H$16,6,FALSE)</f>
        <v>#N/A</v>
      </c>
      <c r="AB149" s="42" t="e">
        <f>VLOOKUP($I149,'AnmeldeVSS-Attribute'!$A$2:$H$16,7,FALSE)</f>
        <v>#N/A</v>
      </c>
      <c r="AC149" s="42" t="e">
        <f>IF(I149="Geldbetrag",J149,(IF(T149="",VLOOKUP($I149,'AnmeldeVSS-Attribute'!$A$2:$H$16,8,FALSE),T149)))</f>
        <v>#N/A</v>
      </c>
      <c r="AD149" s="42">
        <f>IF(S149="",0,VLOOKUP(S149,'AnmeldeVSS-Attribute'!$A$20:$B$26,2,FALSE))</f>
        <v>0</v>
      </c>
      <c r="AE149" s="42" t="e">
        <f t="shared" si="13"/>
        <v>#N/A</v>
      </c>
      <c r="AF149" s="42" t="str">
        <f t="shared" si="14"/>
        <v/>
      </c>
      <c r="AG149" s="42" t="str">
        <f t="shared" si="15"/>
        <v/>
      </c>
      <c r="AH149" s="47" t="str">
        <f t="shared" si="16"/>
        <v/>
      </c>
      <c r="AI149" s="47" t="str">
        <f t="shared" si="17"/>
        <v/>
      </c>
      <c r="AJ149" s="42" t="str">
        <f>IF(O149="",(IF(P149="Ansicht","INSERT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B149 &amp;" ,NULL ,'',349,"&amp; VLOOKUP(Q149,'AnmeldeVSS-Attribute'!$A$43:$B$50,2,FALSE)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B149 &amp;" ,"&amp; O149 &amp;" ,"&amp; IF(Q149="ja","'1'",IF(Q149="nein","'0'","'"&amp;Q149&amp;"'")) &amp;","&amp;IF(P149="enthält",349,IF(P149="nicht leer",352,IF(P149="enthält nicht",350,IF(P149="leer",351,0)))) &amp;" ,NULL ,GetDate() ,'scrc' ,GetDate() ,'scrc')")</f>
        <v/>
      </c>
      <c r="AK149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0" spans="1:37" s="35" customFormat="1" x14ac:dyDescent="0.25">
      <c r="A150" s="66"/>
      <c r="B150" s="63"/>
      <c r="C150" s="64"/>
      <c r="D150" s="64"/>
      <c r="E150" s="63"/>
      <c r="F150" s="63"/>
      <c r="G150" s="64"/>
      <c r="H150" s="64"/>
      <c r="I150" s="64"/>
      <c r="J150" s="63"/>
      <c r="K150" s="63"/>
      <c r="L150" s="63"/>
      <c r="M150" s="63"/>
      <c r="N150" s="63"/>
      <c r="O150" s="63"/>
      <c r="P150" s="63"/>
      <c r="Q150" s="64"/>
      <c r="R150" s="63"/>
      <c r="S150" s="63"/>
      <c r="T150" s="33"/>
      <c r="U150" s="33"/>
      <c r="V150" s="34"/>
      <c r="W150" s="42" t="e">
        <f>VLOOKUP($I150,'AnmeldeVSS-Attribute'!$A$2:$H$16,2,FALSE)</f>
        <v>#N/A</v>
      </c>
      <c r="X150" s="42" t="e">
        <f>VLOOKUP($I150,'AnmeldeVSS-Attribute'!$A$2:$H$16,3,FALSE)</f>
        <v>#N/A</v>
      </c>
      <c r="Y150" s="42" t="e">
        <f>VLOOKUP($I150,'AnmeldeVSS-Attribute'!$A$2:$H$16,4,FALSE)</f>
        <v>#N/A</v>
      </c>
      <c r="Z150" s="42" t="e">
        <f>VLOOKUP($I150,'AnmeldeVSS-Attribute'!$A$2:$H$16,5,FALSE)</f>
        <v>#N/A</v>
      </c>
      <c r="AA150" s="42" t="e">
        <f>VLOOKUP($I150,'AnmeldeVSS-Attribute'!$A$2:$H$16,6,FALSE)</f>
        <v>#N/A</v>
      </c>
      <c r="AB150" s="42" t="e">
        <f>VLOOKUP($I150,'AnmeldeVSS-Attribute'!$A$2:$H$16,7,FALSE)</f>
        <v>#N/A</v>
      </c>
      <c r="AC150" s="42" t="e">
        <f>IF(I150="Geldbetrag",J150,(IF(T150="",VLOOKUP($I150,'AnmeldeVSS-Attribute'!$A$2:$H$16,8,FALSE),T150)))</f>
        <v>#N/A</v>
      </c>
      <c r="AD150" s="42">
        <f>IF(S150="",0,VLOOKUP(S150,'AnmeldeVSS-Attribute'!$A$20:$B$26,2,FALSE))</f>
        <v>0</v>
      </c>
      <c r="AE150" s="42" t="e">
        <f t="shared" si="13"/>
        <v>#N/A</v>
      </c>
      <c r="AF150" s="42" t="str">
        <f t="shared" si="14"/>
        <v/>
      </c>
      <c r="AG150" s="42" t="str">
        <f t="shared" si="15"/>
        <v/>
      </c>
      <c r="AH150" s="47" t="str">
        <f t="shared" si="16"/>
        <v/>
      </c>
      <c r="AI150" s="47" t="str">
        <f t="shared" si="17"/>
        <v/>
      </c>
      <c r="AJ150" s="42" t="str">
        <f>IF(O150="",(IF(P150="Ansicht","INSERT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B150 &amp;" ,NULL ,'',349,"&amp; VLOOKUP(Q150,'AnmeldeVSS-Attribute'!$A$43:$B$50,2,FALSE)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B150 &amp;" ,"&amp; O150 &amp;" ,"&amp; IF(Q150="ja","'1'",IF(Q150="nein","'0'","'"&amp;Q150&amp;"'")) &amp;","&amp;IF(P150="enthält",349,IF(P150="nicht leer",352,IF(P150="enthält nicht",350,IF(P150="leer",351,0)))) &amp;" ,NULL ,GetDate() ,'scrc' ,GetDate() ,'scrc')")</f>
        <v/>
      </c>
      <c r="AK150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1" spans="1:37" x14ac:dyDescent="0.25">
      <c r="A151" s="71"/>
      <c r="B151" s="71"/>
      <c r="C151" s="71"/>
      <c r="D151" s="71"/>
      <c r="E151" s="66"/>
      <c r="F151" s="71"/>
      <c r="G151" s="71"/>
      <c r="H151" s="71"/>
      <c r="I151" s="71"/>
      <c r="J151" s="71"/>
      <c r="K151" s="71"/>
      <c r="L151" s="71"/>
      <c r="M151" s="70"/>
      <c r="N151" s="70"/>
      <c r="O151" s="70"/>
      <c r="P151" s="70"/>
      <c r="Q151" s="71"/>
      <c r="R151" s="70"/>
      <c r="S151" s="70"/>
      <c r="T151" s="69"/>
      <c r="U151" s="69"/>
      <c r="V151" s="42"/>
      <c r="W151" s="42" t="e">
        <f>VLOOKUP($I151,'AnmeldeVSS-Attribute'!$A$2:$H$16,2,FALSE)</f>
        <v>#N/A</v>
      </c>
      <c r="X151" s="42" t="e">
        <f>VLOOKUP($I151,'AnmeldeVSS-Attribute'!$A$2:$H$16,3,FALSE)</f>
        <v>#N/A</v>
      </c>
      <c r="Y151" s="42" t="e">
        <f>VLOOKUP($I151,'AnmeldeVSS-Attribute'!$A$2:$H$16,4,FALSE)</f>
        <v>#N/A</v>
      </c>
      <c r="Z151" s="42" t="e">
        <f>VLOOKUP($I151,'AnmeldeVSS-Attribute'!$A$2:$H$16,5,FALSE)</f>
        <v>#N/A</v>
      </c>
      <c r="AA151" s="42" t="e">
        <f>VLOOKUP($I151,'AnmeldeVSS-Attribute'!$A$2:$H$16,6,FALSE)</f>
        <v>#N/A</v>
      </c>
      <c r="AB151" s="42" t="e">
        <f>VLOOKUP($I151,'AnmeldeVSS-Attribute'!$A$2:$H$16,7,FALSE)</f>
        <v>#N/A</v>
      </c>
      <c r="AC151" s="42" t="e">
        <f>IF(I151="Geldbetrag",J151,(IF(T151="",VLOOKUP($I151,'AnmeldeVSS-Attribute'!$A$2:$H$16,8,FALSE),T151)))</f>
        <v>#N/A</v>
      </c>
      <c r="AD151" s="42">
        <f>IF(S151="",0,VLOOKUP(S151,'AnmeldeVSS-Attribute'!$A$20:$B$26,2,FALSE))</f>
        <v>0</v>
      </c>
      <c r="AE151" s="42" t="e">
        <f t="shared" si="13"/>
        <v>#N/A</v>
      </c>
      <c r="AF151" s="42" t="str">
        <f t="shared" si="14"/>
        <v/>
      </c>
      <c r="AG151" s="42" t="str">
        <f t="shared" si="15"/>
        <v/>
      </c>
      <c r="AH151" s="47" t="str">
        <f t="shared" si="16"/>
        <v/>
      </c>
      <c r="AI151" s="47" t="str">
        <f t="shared" si="17"/>
        <v/>
      </c>
      <c r="AJ151" s="42" t="str">
        <f>IF(O151="",(IF(P151="Ansicht","INSERT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B151 &amp;" ,NULL ,'',349,"&amp; VLOOKUP(Q151,'AnmeldeVSS-Attribute'!$A$43:$B$50,2,FALSE)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B151 &amp;" ,"&amp; O151 &amp;" ,"&amp; IF(Q151="ja","'1'",IF(Q151="nein","'0'","'"&amp;Q151&amp;"'")) &amp;","&amp;IF(P151="enthält",349,IF(P151="nicht leer",352,IF(P151="enthält nicht",350,IF(P151="leer",351,0)))) &amp;" ,NULL ,GetDate() ,'scrc' ,GetDate() ,'scrc')")</f>
        <v/>
      </c>
      <c r="AK151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2" spans="1:37" x14ac:dyDescent="0.25">
      <c r="A152" s="68"/>
      <c r="B152" s="68"/>
      <c r="C152" s="68"/>
      <c r="D152" s="68"/>
      <c r="E152" s="66"/>
      <c r="F152" s="68"/>
      <c r="G152" s="68"/>
      <c r="H152" s="68"/>
      <c r="I152" s="68"/>
      <c r="J152" s="68"/>
      <c r="K152" s="68"/>
      <c r="L152" s="68"/>
      <c r="M152" s="66"/>
      <c r="N152" s="66"/>
      <c r="O152" s="66"/>
      <c r="P152" s="66"/>
      <c r="Q152" s="68"/>
      <c r="R152" s="66"/>
      <c r="S152" s="66"/>
      <c r="T152" s="61"/>
      <c r="U152" s="61"/>
      <c r="W152" s="42" t="e">
        <f>VLOOKUP($I152,'AnmeldeVSS-Attribute'!$A$2:$H$16,2,FALSE)</f>
        <v>#N/A</v>
      </c>
      <c r="X152" s="42" t="e">
        <f>VLOOKUP($I152,'AnmeldeVSS-Attribute'!$A$2:$H$16,3,FALSE)</f>
        <v>#N/A</v>
      </c>
      <c r="Y152" s="42" t="e">
        <f>VLOOKUP($I152,'AnmeldeVSS-Attribute'!$A$2:$H$16,4,FALSE)</f>
        <v>#N/A</v>
      </c>
      <c r="Z152" s="42" t="e">
        <f>VLOOKUP($I152,'AnmeldeVSS-Attribute'!$A$2:$H$16,5,FALSE)</f>
        <v>#N/A</v>
      </c>
      <c r="AA152" s="42" t="e">
        <f>VLOOKUP($I152,'AnmeldeVSS-Attribute'!$A$2:$H$16,6,FALSE)</f>
        <v>#N/A</v>
      </c>
      <c r="AB152" s="42" t="e">
        <f>VLOOKUP($I152,'AnmeldeVSS-Attribute'!$A$2:$H$16,7,FALSE)</f>
        <v>#N/A</v>
      </c>
      <c r="AC152" s="42" t="e">
        <f>IF(I152="Geldbetrag",J152,(IF(T152="",VLOOKUP($I152,'AnmeldeVSS-Attribute'!$A$2:$H$16,8,FALSE),T152)))</f>
        <v>#N/A</v>
      </c>
      <c r="AD152" s="42">
        <f>IF(S152="",0,VLOOKUP(S152,'AnmeldeVSS-Attribute'!$A$20:$B$26,2,FALSE))</f>
        <v>0</v>
      </c>
      <c r="AE152" s="42" t="e">
        <f t="shared" si="13"/>
        <v>#N/A</v>
      </c>
      <c r="AF152" s="42" t="str">
        <f t="shared" si="14"/>
        <v/>
      </c>
      <c r="AG152" s="42" t="str">
        <f t="shared" si="15"/>
        <v/>
      </c>
      <c r="AH152" s="47" t="str">
        <f t="shared" si="16"/>
        <v/>
      </c>
      <c r="AI152" s="47" t="str">
        <f t="shared" si="17"/>
        <v/>
      </c>
      <c r="AJ152" s="42" t="str">
        <f>IF(O152="",(IF(P152="Ansicht","INSERT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B152 &amp;" ,NULL ,'',349,"&amp; VLOOKUP(Q152,'AnmeldeVSS-Attribute'!$A$43:$B$50,2,FALSE)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B152 &amp;" ,"&amp; O152 &amp;" ,"&amp; IF(Q152="ja","'1'",IF(Q152="nein","'0'","'"&amp;Q152&amp;"'")) &amp;","&amp;IF(P152="enthält",349,IF(P152="nicht leer",352,IF(P152="enthält nicht",350,IF(P152="leer",351,0)))) &amp;" ,NULL ,GetDate() ,'scrc' ,GetDate() ,'scrc')")</f>
        <v/>
      </c>
      <c r="AK152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3" spans="1:37" x14ac:dyDescent="0.25">
      <c r="A153" s="68"/>
      <c r="B153" s="68"/>
      <c r="C153" s="68"/>
      <c r="D153" s="68"/>
      <c r="E153" s="66"/>
      <c r="F153" s="68"/>
      <c r="G153" s="68"/>
      <c r="H153" s="68"/>
      <c r="I153" s="68"/>
      <c r="J153" s="68"/>
      <c r="K153" s="68"/>
      <c r="L153" s="68"/>
      <c r="M153" s="66"/>
      <c r="N153" s="66"/>
      <c r="O153" s="66"/>
      <c r="P153" s="66"/>
      <c r="Q153" s="68"/>
      <c r="R153" s="66"/>
      <c r="S153" s="66"/>
      <c r="T153" s="61"/>
      <c r="U153" s="61"/>
      <c r="W153" s="42" t="e">
        <f>VLOOKUP($I153,'AnmeldeVSS-Attribute'!$A$2:$H$16,2,FALSE)</f>
        <v>#N/A</v>
      </c>
      <c r="X153" s="42" t="e">
        <f>VLOOKUP($I153,'AnmeldeVSS-Attribute'!$A$2:$H$16,3,FALSE)</f>
        <v>#N/A</v>
      </c>
      <c r="Y153" s="42" t="e">
        <f>VLOOKUP($I153,'AnmeldeVSS-Attribute'!$A$2:$H$16,4,FALSE)</f>
        <v>#N/A</v>
      </c>
      <c r="Z153" s="42" t="e">
        <f>VLOOKUP($I153,'AnmeldeVSS-Attribute'!$A$2:$H$16,5,FALSE)</f>
        <v>#N/A</v>
      </c>
      <c r="AA153" s="42" t="e">
        <f>VLOOKUP($I153,'AnmeldeVSS-Attribute'!$A$2:$H$16,6,FALSE)</f>
        <v>#N/A</v>
      </c>
      <c r="AB153" s="42" t="e">
        <f>VLOOKUP($I153,'AnmeldeVSS-Attribute'!$A$2:$H$16,7,FALSE)</f>
        <v>#N/A</v>
      </c>
      <c r="AC153" s="42" t="e">
        <f>IF(I153="Geldbetrag",J153,(IF(T153="",VLOOKUP($I153,'AnmeldeVSS-Attribute'!$A$2:$H$16,8,FALSE),T153)))</f>
        <v>#N/A</v>
      </c>
      <c r="AD153" s="42">
        <f>IF(S153="",0,VLOOKUP(S153,'AnmeldeVSS-Attribute'!$A$20:$B$26,2,FALSE))</f>
        <v>0</v>
      </c>
      <c r="AE153" s="42" t="e">
        <f t="shared" si="13"/>
        <v>#N/A</v>
      </c>
      <c r="AF153" s="42" t="str">
        <f t="shared" si="14"/>
        <v/>
      </c>
      <c r="AG153" s="42" t="str">
        <f t="shared" si="15"/>
        <v/>
      </c>
      <c r="AH153" s="47" t="str">
        <f t="shared" si="16"/>
        <v/>
      </c>
      <c r="AI153" s="47" t="str">
        <f t="shared" si="17"/>
        <v/>
      </c>
      <c r="AJ153" s="42" t="str">
        <f>IF(O153="",(IF(P153="Ansicht","INSERT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B153 &amp;" ,NULL ,'',349,"&amp; VLOOKUP(Q153,'AnmeldeVSS-Attribute'!$A$43:$B$50,2,FALSE)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B153 &amp;" ,"&amp; O153 &amp;" ,"&amp; IF(Q153="ja","'1'",IF(Q153="nein","'0'","'"&amp;Q153&amp;"'")) &amp;","&amp;IF(P153="enthält",349,IF(P153="nicht leer",352,IF(P153="enthält nicht",350,IF(P153="leer",351,0)))) &amp;" ,NULL ,GetDate() ,'scrc' ,GetDate() ,'scrc')")</f>
        <v/>
      </c>
      <c r="AK153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4" spans="1:37" ht="43.9" customHeight="1" x14ac:dyDescent="0.25">
      <c r="A154" s="68"/>
      <c r="B154" s="64"/>
      <c r="C154" s="64"/>
      <c r="D154" s="64"/>
      <c r="E154" s="63"/>
      <c r="F154" s="63"/>
      <c r="G154" s="64"/>
      <c r="H154" s="64"/>
      <c r="I154" s="64"/>
      <c r="J154" s="63"/>
      <c r="K154" s="63"/>
      <c r="L154" s="63"/>
      <c r="M154" s="63"/>
      <c r="N154" s="63"/>
      <c r="O154" s="63"/>
      <c r="P154" s="63"/>
      <c r="Q154" s="64"/>
      <c r="R154" s="63"/>
      <c r="S154" s="63"/>
      <c r="T154" s="65"/>
      <c r="U154" s="65"/>
      <c r="W154" s="42" t="e">
        <f>VLOOKUP($I154,'AnmeldeVSS-Attribute'!$A$2:$H$16,2,FALSE)</f>
        <v>#N/A</v>
      </c>
      <c r="X154" s="42" t="e">
        <f>VLOOKUP($I154,'AnmeldeVSS-Attribute'!$A$2:$H$16,3,FALSE)</f>
        <v>#N/A</v>
      </c>
      <c r="Y154" s="42" t="e">
        <f>VLOOKUP($I154,'AnmeldeVSS-Attribute'!$A$2:$H$16,4,FALSE)</f>
        <v>#N/A</v>
      </c>
      <c r="Z154" s="42" t="e">
        <f>VLOOKUP($I154,'AnmeldeVSS-Attribute'!$A$2:$H$16,5,FALSE)</f>
        <v>#N/A</v>
      </c>
      <c r="AA154" s="42" t="e">
        <f>VLOOKUP($I154,'AnmeldeVSS-Attribute'!$A$2:$H$16,6,FALSE)</f>
        <v>#N/A</v>
      </c>
      <c r="AB154" s="42" t="e">
        <f>VLOOKUP($I154,'AnmeldeVSS-Attribute'!$A$2:$H$16,7,FALSE)</f>
        <v>#N/A</v>
      </c>
      <c r="AC154" s="42" t="e">
        <f>IF(I154="Geldbetrag",J154,(IF(T154="",VLOOKUP($I154,'AnmeldeVSS-Attribute'!$A$2:$H$16,8,FALSE),T154)))</f>
        <v>#N/A</v>
      </c>
      <c r="AD154" s="42">
        <f>IF(S154="",0,VLOOKUP(S154,'AnmeldeVSS-Attribute'!$A$20:$B$26,2,FALSE))</f>
        <v>0</v>
      </c>
      <c r="AE154" s="42" t="e">
        <f t="shared" si="13"/>
        <v>#N/A</v>
      </c>
      <c r="AF154" s="42" t="str">
        <f t="shared" si="14"/>
        <v/>
      </c>
      <c r="AG154" s="42" t="str">
        <f t="shared" si="15"/>
        <v/>
      </c>
      <c r="AH154" s="47" t="str">
        <f t="shared" si="16"/>
        <v/>
      </c>
      <c r="AI154" s="47" t="str">
        <f t="shared" si="17"/>
        <v/>
      </c>
      <c r="AJ154" s="42" t="str">
        <f>IF(O154="",(IF(P154="Ansicht","INSERT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B154 &amp;" ,NULL ,'',349,"&amp; VLOOKUP(Q154,'AnmeldeVSS-Attribute'!$A$43:$B$50,2,FALSE)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B154 &amp;" ,"&amp; O154 &amp;" ,"&amp; IF(Q154="ja","'1'",IF(Q154="nein","'0'","'"&amp;Q154&amp;"'")) &amp;","&amp;IF(P154="enthält",349,IF(P154="nicht leer",352,IF(P154="enthält nicht",350,IF(P154="leer",351,0)))) &amp;" ,NULL ,GetDate() ,'scrc' ,GetDate() ,'scrc')")</f>
        <v/>
      </c>
      <c r="AK154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5" spans="1:37" x14ac:dyDescent="0.25">
      <c r="A155" s="66"/>
      <c r="B155" s="63"/>
      <c r="C155" s="64"/>
      <c r="D155" s="64"/>
      <c r="E155" s="63"/>
      <c r="F155" s="63"/>
      <c r="G155" s="64"/>
      <c r="H155" s="64"/>
      <c r="I155" s="64"/>
      <c r="J155" s="63"/>
      <c r="K155" s="63"/>
      <c r="L155" s="63"/>
      <c r="M155" s="66"/>
      <c r="N155" s="63"/>
      <c r="O155" s="63"/>
      <c r="P155" s="63"/>
      <c r="Q155" s="64"/>
      <c r="R155" s="63"/>
      <c r="S155" s="63"/>
      <c r="T155" s="65"/>
      <c r="U155" s="65"/>
      <c r="W155" s="42" t="e">
        <f>VLOOKUP($I155,'AnmeldeVSS-Attribute'!$A$2:$H$16,2,FALSE)</f>
        <v>#N/A</v>
      </c>
      <c r="X155" s="42" t="e">
        <f>VLOOKUP($I155,'AnmeldeVSS-Attribute'!$A$2:$H$16,3,FALSE)</f>
        <v>#N/A</v>
      </c>
      <c r="Y155" s="42" t="e">
        <f>VLOOKUP($I155,'AnmeldeVSS-Attribute'!$A$2:$H$16,4,FALSE)</f>
        <v>#N/A</v>
      </c>
      <c r="Z155" s="42" t="e">
        <f>VLOOKUP($I155,'AnmeldeVSS-Attribute'!$A$2:$H$16,5,FALSE)</f>
        <v>#N/A</v>
      </c>
      <c r="AA155" s="42" t="e">
        <f>VLOOKUP($I155,'AnmeldeVSS-Attribute'!$A$2:$H$16,6,FALSE)</f>
        <v>#N/A</v>
      </c>
      <c r="AB155" s="42" t="e">
        <f>VLOOKUP($I155,'AnmeldeVSS-Attribute'!$A$2:$H$16,7,FALSE)</f>
        <v>#N/A</v>
      </c>
      <c r="AC155" s="42" t="e">
        <f>IF(I155="Geldbetrag",J155,(IF(T155="",VLOOKUP($I155,'AnmeldeVSS-Attribute'!$A$2:$H$16,8,FALSE),T155)))</f>
        <v>#N/A</v>
      </c>
      <c r="AD155" s="42">
        <f>IF(S155="",0,VLOOKUP(S155,'AnmeldeVSS-Attribute'!$A$20:$B$26,2,FALSE))</f>
        <v>0</v>
      </c>
      <c r="AE155" s="42" t="e">
        <f t="shared" si="13"/>
        <v>#N/A</v>
      </c>
      <c r="AF155" s="42" t="str">
        <f t="shared" si="14"/>
        <v/>
      </c>
      <c r="AG155" s="42" t="str">
        <f t="shared" si="15"/>
        <v/>
      </c>
      <c r="AH155" s="47" t="str">
        <f t="shared" si="16"/>
        <v/>
      </c>
      <c r="AI155" s="47" t="str">
        <f t="shared" si="17"/>
        <v/>
      </c>
      <c r="AJ155" s="42" t="str">
        <f>IF(O155="",(IF(P155="Ansicht","INSERT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B155 &amp;" ,NULL ,'',349,"&amp; VLOOKUP(Q155,'AnmeldeVSS-Attribute'!$A$43:$B$50,2,FALSE)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B155 &amp;" ,"&amp; O155 &amp;" ,"&amp; IF(Q155="ja","'1'",IF(Q155="nein","'0'","'"&amp;Q155&amp;"'")) &amp;","&amp;IF(P155="enthält",349,IF(P155="nicht leer",352,IF(P155="enthält nicht",350,IF(P155="leer",351,0)))) &amp;" ,NULL ,GetDate() ,'scrc' ,GetDate() ,'scrc')")</f>
        <v/>
      </c>
      <c r="AK155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6" spans="1:37" ht="49.9" customHeight="1" x14ac:dyDescent="0.25">
      <c r="A156" s="68"/>
      <c r="B156" s="63"/>
      <c r="C156" s="64"/>
      <c r="D156" s="64"/>
      <c r="E156" s="63"/>
      <c r="F156" s="63"/>
      <c r="G156" s="64"/>
      <c r="H156" s="64"/>
      <c r="I156" s="64"/>
      <c r="J156" s="63"/>
      <c r="K156" s="63"/>
      <c r="L156" s="63"/>
      <c r="M156" s="63"/>
      <c r="N156" s="63"/>
      <c r="O156" s="63"/>
      <c r="P156" s="63"/>
      <c r="Q156" s="64"/>
      <c r="R156" s="63"/>
      <c r="S156" s="63"/>
      <c r="T156" s="65"/>
      <c r="U156" s="65"/>
      <c r="W156" s="42" t="e">
        <f>VLOOKUP($I156,'AnmeldeVSS-Attribute'!$A$2:$H$16,2,FALSE)</f>
        <v>#N/A</v>
      </c>
      <c r="X156" s="42" t="e">
        <f>VLOOKUP($I156,'AnmeldeVSS-Attribute'!$A$2:$H$16,3,FALSE)</f>
        <v>#N/A</v>
      </c>
      <c r="Y156" s="42" t="e">
        <f>VLOOKUP($I156,'AnmeldeVSS-Attribute'!$A$2:$H$16,4,FALSE)</f>
        <v>#N/A</v>
      </c>
      <c r="Z156" s="42" t="e">
        <f>VLOOKUP($I156,'AnmeldeVSS-Attribute'!$A$2:$H$16,5,FALSE)</f>
        <v>#N/A</v>
      </c>
      <c r="AA156" s="42" t="e">
        <f>VLOOKUP($I156,'AnmeldeVSS-Attribute'!$A$2:$H$16,6,FALSE)</f>
        <v>#N/A</v>
      </c>
      <c r="AB156" s="42" t="e">
        <f>VLOOKUP($I156,'AnmeldeVSS-Attribute'!$A$2:$H$16,7,FALSE)</f>
        <v>#N/A</v>
      </c>
      <c r="AC156" s="42" t="e">
        <f>IF(I156="Geldbetrag",J156,(IF(T156="",VLOOKUP($I156,'AnmeldeVSS-Attribute'!$A$2:$H$16,8,FALSE),T156)))</f>
        <v>#N/A</v>
      </c>
      <c r="AD156" s="42">
        <f>IF(S156="",0,VLOOKUP(S156,'AnmeldeVSS-Attribute'!$A$20:$B$26,2,FALSE))</f>
        <v>0</v>
      </c>
      <c r="AE156" s="42" t="e">
        <f t="shared" si="13"/>
        <v>#N/A</v>
      </c>
      <c r="AF156" s="42" t="str">
        <f t="shared" si="14"/>
        <v/>
      </c>
      <c r="AG156" s="42" t="str">
        <f t="shared" si="15"/>
        <v/>
      </c>
      <c r="AH156" s="47" t="str">
        <f t="shared" si="16"/>
        <v/>
      </c>
      <c r="AI156" s="47" t="str">
        <f t="shared" si="17"/>
        <v/>
      </c>
      <c r="AJ156" s="42" t="str">
        <f>IF(O156="",(IF(P156="Ansicht","INSERT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B156 &amp;" ,NULL ,'',349,"&amp; VLOOKUP(Q156,'AnmeldeVSS-Attribute'!$A$43:$B$50,2,FALSE)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B156 &amp;" ,"&amp; O156 &amp;" ,"&amp; IF(Q156="ja","'1'",IF(Q156="nein","'0'","'"&amp;Q156&amp;"'")) &amp;","&amp;IF(P156="enthält",349,IF(P156="nicht leer",352,IF(P156="enthält nicht",350,IF(P156="leer",351,0)))) &amp;" ,NULL ,GetDate() ,'scrc' ,GetDate() ,'scrc')")</f>
        <v/>
      </c>
      <c r="AK156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7" spans="1:37" x14ac:dyDescent="0.25">
      <c r="A157" s="66"/>
      <c r="B157" s="63"/>
      <c r="C157" s="64"/>
      <c r="D157" s="64"/>
      <c r="E157" s="63"/>
      <c r="F157" s="63"/>
      <c r="G157" s="64"/>
      <c r="H157" s="64"/>
      <c r="I157" s="64"/>
      <c r="J157" s="63"/>
      <c r="K157" s="63"/>
      <c r="L157" s="63"/>
      <c r="M157" s="63"/>
      <c r="N157" s="63"/>
      <c r="O157" s="63"/>
      <c r="P157" s="63"/>
      <c r="Q157" s="64"/>
      <c r="R157" s="63"/>
      <c r="S157" s="63"/>
      <c r="T157" s="65"/>
      <c r="U157" s="65"/>
      <c r="W157" s="42" t="e">
        <f>VLOOKUP($I157,'AnmeldeVSS-Attribute'!$A$2:$H$16,2,FALSE)</f>
        <v>#N/A</v>
      </c>
      <c r="X157" s="42" t="e">
        <f>VLOOKUP($I157,'AnmeldeVSS-Attribute'!$A$2:$H$16,3,FALSE)</f>
        <v>#N/A</v>
      </c>
      <c r="Y157" s="42" t="e">
        <f>VLOOKUP($I157,'AnmeldeVSS-Attribute'!$A$2:$H$16,4,FALSE)</f>
        <v>#N/A</v>
      </c>
      <c r="Z157" s="42" t="e">
        <f>VLOOKUP($I157,'AnmeldeVSS-Attribute'!$A$2:$H$16,5,FALSE)</f>
        <v>#N/A</v>
      </c>
      <c r="AA157" s="42" t="e">
        <f>VLOOKUP($I157,'AnmeldeVSS-Attribute'!$A$2:$H$16,6,FALSE)</f>
        <v>#N/A</v>
      </c>
      <c r="AB157" s="42" t="e">
        <f>VLOOKUP($I157,'AnmeldeVSS-Attribute'!$A$2:$H$16,7,FALSE)</f>
        <v>#N/A</v>
      </c>
      <c r="AC157" s="42" t="e">
        <f>IF(I157="Geldbetrag",J157,(IF(T157="",VLOOKUP($I157,'AnmeldeVSS-Attribute'!$A$2:$H$16,8,FALSE),T157)))</f>
        <v>#N/A</v>
      </c>
      <c r="AD157" s="42">
        <f>IF(S157="",0,VLOOKUP(S157,'AnmeldeVSS-Attribute'!$A$20:$B$26,2,FALSE))</f>
        <v>0</v>
      </c>
      <c r="AE157" s="42" t="e">
        <f t="shared" si="13"/>
        <v>#N/A</v>
      </c>
      <c r="AF157" s="42" t="str">
        <f t="shared" si="14"/>
        <v/>
      </c>
      <c r="AG157" s="42" t="str">
        <f t="shared" si="15"/>
        <v/>
      </c>
      <c r="AH157" s="47" t="str">
        <f t="shared" si="16"/>
        <v/>
      </c>
      <c r="AI157" s="47" t="str">
        <f t="shared" si="17"/>
        <v/>
      </c>
      <c r="AJ157" s="42" t="str">
        <f>IF(O157="",(IF(P157="Ansicht","INSERT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B157 &amp;" ,NULL ,'',349,"&amp; VLOOKUP(Q157,'AnmeldeVSS-Attribute'!$A$43:$B$50,2,FALSE)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B157 &amp;" ,"&amp; O157 &amp;" ,"&amp; IF(Q157="ja","'1'",IF(Q157="nein","'0'","'"&amp;Q157&amp;"'")) &amp;","&amp;IF(P157="enthält",349,IF(P157="nicht leer",352,IF(P157="enthält nicht",350,IF(P157="leer",351,0)))) &amp;" ,NULL ,GetDate() ,'scrc' ,GetDate() ,'scrc')")</f>
        <v/>
      </c>
      <c r="AK157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8" spans="1:37" x14ac:dyDescent="0.25">
      <c r="A158" s="68"/>
      <c r="B158" s="63"/>
      <c r="C158" s="64"/>
      <c r="D158" s="64"/>
      <c r="E158" s="63"/>
      <c r="F158" s="63"/>
      <c r="G158" s="64"/>
      <c r="H158" s="64"/>
      <c r="I158" s="64"/>
      <c r="J158" s="63"/>
      <c r="K158" s="63"/>
      <c r="L158" s="63"/>
      <c r="M158" s="63"/>
      <c r="N158" s="63"/>
      <c r="O158" s="63"/>
      <c r="P158" s="63"/>
      <c r="Q158" s="64"/>
      <c r="R158" s="63"/>
      <c r="S158" s="63"/>
      <c r="T158" s="65"/>
      <c r="U158" s="65"/>
      <c r="W158" s="42" t="e">
        <f>VLOOKUP($I158,'AnmeldeVSS-Attribute'!$A$2:$H$16,2,FALSE)</f>
        <v>#N/A</v>
      </c>
      <c r="X158" s="42" t="e">
        <f>VLOOKUP($I158,'AnmeldeVSS-Attribute'!$A$2:$H$16,3,FALSE)</f>
        <v>#N/A</v>
      </c>
      <c r="Y158" s="42" t="e">
        <f>VLOOKUP($I158,'AnmeldeVSS-Attribute'!$A$2:$H$16,4,FALSE)</f>
        <v>#N/A</v>
      </c>
      <c r="Z158" s="42" t="e">
        <f>VLOOKUP($I158,'AnmeldeVSS-Attribute'!$A$2:$H$16,5,FALSE)</f>
        <v>#N/A</v>
      </c>
      <c r="AA158" s="42" t="e">
        <f>VLOOKUP($I158,'AnmeldeVSS-Attribute'!$A$2:$H$16,6,FALSE)</f>
        <v>#N/A</v>
      </c>
      <c r="AB158" s="42" t="e">
        <f>VLOOKUP($I158,'AnmeldeVSS-Attribute'!$A$2:$H$16,7,FALSE)</f>
        <v>#N/A</v>
      </c>
      <c r="AC158" s="42" t="e">
        <f>IF(I158="Geldbetrag",J158,(IF(T158="",VLOOKUP($I158,'AnmeldeVSS-Attribute'!$A$2:$H$16,8,FALSE),T158)))</f>
        <v>#N/A</v>
      </c>
      <c r="AD158" s="42">
        <f>IF(S158="",0,VLOOKUP(S158,'AnmeldeVSS-Attribute'!$A$20:$B$26,2,FALSE))</f>
        <v>0</v>
      </c>
      <c r="AE158" s="42" t="e">
        <f t="shared" si="13"/>
        <v>#N/A</v>
      </c>
      <c r="AF158" s="42" t="str">
        <f t="shared" si="14"/>
        <v/>
      </c>
      <c r="AG158" s="42" t="str">
        <f t="shared" si="15"/>
        <v/>
      </c>
      <c r="AH158" s="47" t="str">
        <f t="shared" si="16"/>
        <v/>
      </c>
      <c r="AI158" s="47" t="str">
        <f t="shared" si="17"/>
        <v/>
      </c>
      <c r="AJ158" s="42" t="str">
        <f>IF(O158="",(IF(P158="Ansicht","INSERT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B158 &amp;" ,NULL ,'',349,"&amp; VLOOKUP(Q158,'AnmeldeVSS-Attribute'!$A$43:$B$50,2,FALSE)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B158 &amp;" ,"&amp; O158 &amp;" ,"&amp; IF(Q158="ja","'1'",IF(Q158="nein","'0'","'"&amp;Q158&amp;"'")) &amp;","&amp;IF(P158="enthält",349,IF(P158="nicht leer",352,IF(P158="enthält nicht",350,IF(P158="leer",351,0)))) &amp;" ,NULL ,GetDate() ,'scrc' ,GetDate() ,'scrc')")</f>
        <v/>
      </c>
      <c r="AK158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59" spans="1:37" x14ac:dyDescent="0.25">
      <c r="A159" s="66"/>
      <c r="B159" s="63"/>
      <c r="C159" s="64"/>
      <c r="D159" s="64"/>
      <c r="E159" s="63"/>
      <c r="F159" s="63"/>
      <c r="G159" s="64"/>
      <c r="H159" s="64"/>
      <c r="I159" s="64"/>
      <c r="J159" s="63"/>
      <c r="K159" s="63"/>
      <c r="L159" s="63"/>
      <c r="M159" s="66"/>
      <c r="N159" s="63"/>
      <c r="O159" s="63"/>
      <c r="P159" s="63"/>
      <c r="Q159" s="64"/>
      <c r="R159" s="63"/>
      <c r="S159" s="63"/>
      <c r="T159" s="33"/>
      <c r="U159" s="33"/>
      <c r="W159" s="42" t="e">
        <f>VLOOKUP($I159,'AnmeldeVSS-Attribute'!$A$2:$H$16,2,FALSE)</f>
        <v>#N/A</v>
      </c>
      <c r="X159" s="42" t="e">
        <f>VLOOKUP($I159,'AnmeldeVSS-Attribute'!$A$2:$H$16,3,FALSE)</f>
        <v>#N/A</v>
      </c>
      <c r="Y159" s="42" t="e">
        <f>VLOOKUP($I159,'AnmeldeVSS-Attribute'!$A$2:$H$16,4,FALSE)</f>
        <v>#N/A</v>
      </c>
      <c r="Z159" s="42" t="e">
        <f>VLOOKUP($I159,'AnmeldeVSS-Attribute'!$A$2:$H$16,5,FALSE)</f>
        <v>#N/A</v>
      </c>
      <c r="AA159" s="42" t="e">
        <f>VLOOKUP($I159,'AnmeldeVSS-Attribute'!$A$2:$H$16,6,FALSE)</f>
        <v>#N/A</v>
      </c>
      <c r="AB159" s="42" t="e">
        <f>VLOOKUP($I159,'AnmeldeVSS-Attribute'!$A$2:$H$16,7,FALSE)</f>
        <v>#N/A</v>
      </c>
      <c r="AC159" s="42" t="e">
        <f>IF(I159="Geldbetrag",J159,(IF(T159="",VLOOKUP($I159,'AnmeldeVSS-Attribute'!$A$2:$H$16,8,FALSE),T159)))</f>
        <v>#N/A</v>
      </c>
      <c r="AD159" s="42">
        <f>IF(S159="",0,VLOOKUP(S159,'AnmeldeVSS-Attribute'!$A$20:$B$26,2,FALSE))</f>
        <v>0</v>
      </c>
      <c r="AE159" s="42" t="e">
        <f t="shared" si="13"/>
        <v>#N/A</v>
      </c>
      <c r="AF159" s="42" t="str">
        <f t="shared" si="14"/>
        <v/>
      </c>
      <c r="AG159" s="42" t="str">
        <f t="shared" si="15"/>
        <v/>
      </c>
      <c r="AH159" s="47" t="str">
        <f t="shared" si="16"/>
        <v/>
      </c>
      <c r="AI159" s="47" t="str">
        <f t="shared" si="17"/>
        <v/>
      </c>
      <c r="AJ159" s="42" t="str">
        <f>IF(O159="",(IF(P159="Ansicht","INSERT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B159 &amp;" ,NULL ,'',349,"&amp; VLOOKUP(Q159,'AnmeldeVSS-Attribute'!$A$43:$B$50,2,FALSE)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B159 &amp;" ,"&amp; O159 &amp;" ,"&amp; IF(Q159="ja","'1'",IF(Q159="nein","'0'","'"&amp;Q159&amp;"'")) &amp;","&amp;IF(P159="enthält",349,IF(P159="nicht leer",352,IF(P159="enthält nicht",350,IF(P159="leer",351,0)))) &amp;" ,NULL ,GetDate() ,'scrc' ,GetDate() ,'scrc')")</f>
        <v/>
      </c>
      <c r="AK159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0" spans="1:37" x14ac:dyDescent="0.25">
      <c r="A160" s="68"/>
      <c r="B160" s="63"/>
      <c r="C160" s="64"/>
      <c r="D160" s="64"/>
      <c r="E160" s="63"/>
      <c r="F160" s="63"/>
      <c r="G160" s="64"/>
      <c r="H160" s="64"/>
      <c r="I160" s="64"/>
      <c r="J160" s="63"/>
      <c r="K160" s="63"/>
      <c r="L160" s="63"/>
      <c r="M160" s="63"/>
      <c r="N160" s="63"/>
      <c r="O160" s="63"/>
      <c r="P160" s="63"/>
      <c r="Q160" s="64"/>
      <c r="R160" s="63"/>
      <c r="S160" s="63"/>
      <c r="T160" s="65"/>
      <c r="U160" s="65"/>
      <c r="W160" s="42" t="e">
        <f>VLOOKUP($I160,'AnmeldeVSS-Attribute'!$A$2:$H$16,2,FALSE)</f>
        <v>#N/A</v>
      </c>
      <c r="X160" s="42" t="e">
        <f>VLOOKUP($I160,'AnmeldeVSS-Attribute'!$A$2:$H$16,3,FALSE)</f>
        <v>#N/A</v>
      </c>
      <c r="Y160" s="42" t="e">
        <f>VLOOKUP($I160,'AnmeldeVSS-Attribute'!$A$2:$H$16,4,FALSE)</f>
        <v>#N/A</v>
      </c>
      <c r="Z160" s="42" t="e">
        <f>VLOOKUP($I160,'AnmeldeVSS-Attribute'!$A$2:$H$16,5,FALSE)</f>
        <v>#N/A</v>
      </c>
      <c r="AA160" s="42" t="e">
        <f>VLOOKUP($I160,'AnmeldeVSS-Attribute'!$A$2:$H$16,6,FALSE)</f>
        <v>#N/A</v>
      </c>
      <c r="AB160" s="42" t="e">
        <f>VLOOKUP($I160,'AnmeldeVSS-Attribute'!$A$2:$H$16,7,FALSE)</f>
        <v>#N/A</v>
      </c>
      <c r="AC160" s="42" t="e">
        <f>IF(I160="Geldbetrag",J160,(IF(T160="",VLOOKUP($I160,'AnmeldeVSS-Attribute'!$A$2:$H$16,8,FALSE),T160)))</f>
        <v>#N/A</v>
      </c>
      <c r="AD160" s="42">
        <f>IF(S160="",0,VLOOKUP(S160,'AnmeldeVSS-Attribute'!$A$20:$B$26,2,FALSE))</f>
        <v>0</v>
      </c>
      <c r="AE160" s="42" t="e">
        <f t="shared" si="13"/>
        <v>#N/A</v>
      </c>
      <c r="AF160" s="42" t="str">
        <f t="shared" si="14"/>
        <v/>
      </c>
      <c r="AG160" s="42" t="str">
        <f t="shared" si="15"/>
        <v/>
      </c>
      <c r="AH160" s="47" t="str">
        <f t="shared" si="16"/>
        <v/>
      </c>
      <c r="AI160" s="47" t="str">
        <f t="shared" si="17"/>
        <v/>
      </c>
      <c r="AJ160" s="42" t="str">
        <f>IF(O160="",(IF(P160="Ansicht","INSERT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B160 &amp;" ,NULL ,'',349,"&amp; VLOOKUP(Q160,'AnmeldeVSS-Attribute'!$A$43:$B$50,2,FALSE)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B160 &amp;" ,"&amp; O160 &amp;" ,"&amp; IF(Q160="ja","'1'",IF(Q160="nein","'0'","'"&amp;Q160&amp;"'")) &amp;","&amp;IF(P160="enthält",349,IF(P160="nicht leer",352,IF(P160="enthält nicht",350,IF(P160="leer",351,0)))) &amp;" ,NULL ,GetDate() ,'scrc' ,GetDate() ,'scrc')")</f>
        <v/>
      </c>
      <c r="AK160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1" spans="1:37" x14ac:dyDescent="0.25">
      <c r="A161" s="66"/>
      <c r="B161" s="63"/>
      <c r="C161" s="64"/>
      <c r="D161" s="64"/>
      <c r="E161" s="63"/>
      <c r="F161" s="63"/>
      <c r="G161" s="64"/>
      <c r="H161" s="64"/>
      <c r="I161" s="64"/>
      <c r="J161" s="63"/>
      <c r="K161" s="63"/>
      <c r="L161" s="63"/>
      <c r="M161" s="63"/>
      <c r="N161" s="63"/>
      <c r="O161" s="63"/>
      <c r="P161" s="63"/>
      <c r="Q161" s="64"/>
      <c r="R161" s="63"/>
      <c r="S161" s="63"/>
      <c r="T161" s="65"/>
      <c r="U161" s="65"/>
      <c r="W161" s="42" t="e">
        <f>VLOOKUP($I161,'AnmeldeVSS-Attribute'!$A$2:$H$16,2,FALSE)</f>
        <v>#N/A</v>
      </c>
      <c r="X161" s="42" t="e">
        <f>VLOOKUP($I161,'AnmeldeVSS-Attribute'!$A$2:$H$16,3,FALSE)</f>
        <v>#N/A</v>
      </c>
      <c r="Y161" s="42" t="e">
        <f>VLOOKUP($I161,'AnmeldeVSS-Attribute'!$A$2:$H$16,4,FALSE)</f>
        <v>#N/A</v>
      </c>
      <c r="Z161" s="42" t="e">
        <f>VLOOKUP($I161,'AnmeldeVSS-Attribute'!$A$2:$H$16,5,FALSE)</f>
        <v>#N/A</v>
      </c>
      <c r="AA161" s="42" t="e">
        <f>VLOOKUP($I161,'AnmeldeVSS-Attribute'!$A$2:$H$16,6,FALSE)</f>
        <v>#N/A</v>
      </c>
      <c r="AB161" s="42" t="e">
        <f>VLOOKUP($I161,'AnmeldeVSS-Attribute'!$A$2:$H$16,7,FALSE)</f>
        <v>#N/A</v>
      </c>
      <c r="AC161" s="42" t="e">
        <f>IF(I161="Geldbetrag",J161,(IF(T161="",VLOOKUP($I161,'AnmeldeVSS-Attribute'!$A$2:$H$16,8,FALSE),T161)))</f>
        <v>#N/A</v>
      </c>
      <c r="AD161" s="42">
        <f>IF(S161="",0,VLOOKUP(S161,'AnmeldeVSS-Attribute'!$A$20:$B$26,2,FALSE))</f>
        <v>0</v>
      </c>
      <c r="AE161" s="42" t="e">
        <f t="shared" si="13"/>
        <v>#N/A</v>
      </c>
      <c r="AF161" s="42" t="str">
        <f t="shared" si="14"/>
        <v/>
      </c>
      <c r="AG161" s="42" t="str">
        <f t="shared" si="15"/>
        <v/>
      </c>
      <c r="AH161" s="47" t="str">
        <f t="shared" si="16"/>
        <v/>
      </c>
      <c r="AI161" s="47" t="str">
        <f t="shared" si="17"/>
        <v/>
      </c>
      <c r="AJ161" s="42" t="str">
        <f>IF(O161="",(IF(P161="Ansicht","INSERT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B161 &amp;" ,NULL ,'',349,"&amp; VLOOKUP(Q161,'AnmeldeVSS-Attribute'!$A$43:$B$50,2,FALSE)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B161 &amp;" ,"&amp; O161 &amp;" ,"&amp; IF(Q161="ja","'1'",IF(Q161="nein","'0'","'"&amp;Q161&amp;"'")) &amp;","&amp;IF(P161="enthält",349,IF(P161="nicht leer",352,IF(P161="enthält nicht",350,IF(P161="leer",351,0)))) &amp;" ,NULL ,GetDate() ,'scrc' ,GetDate() ,'scrc')")</f>
        <v/>
      </c>
      <c r="AK161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2" spans="1:37" x14ac:dyDescent="0.25">
      <c r="A162" s="68"/>
      <c r="B162" s="63"/>
      <c r="C162" s="64"/>
      <c r="D162" s="64"/>
      <c r="E162" s="63"/>
      <c r="F162" s="63"/>
      <c r="G162" s="64"/>
      <c r="H162" s="64"/>
      <c r="I162" s="64"/>
      <c r="J162" s="63"/>
      <c r="K162" s="63"/>
      <c r="L162" s="63"/>
      <c r="M162" s="63"/>
      <c r="N162" s="63"/>
      <c r="O162" s="63"/>
      <c r="P162" s="63"/>
      <c r="Q162" s="64"/>
      <c r="R162" s="63"/>
      <c r="S162" s="63"/>
      <c r="T162" s="65"/>
      <c r="U162" s="65"/>
      <c r="W162" s="42" t="e">
        <f>VLOOKUP($I162,'AnmeldeVSS-Attribute'!$A$2:$H$16,2,FALSE)</f>
        <v>#N/A</v>
      </c>
      <c r="X162" s="42" t="e">
        <f>VLOOKUP($I162,'AnmeldeVSS-Attribute'!$A$2:$H$16,3,FALSE)</f>
        <v>#N/A</v>
      </c>
      <c r="Y162" s="42" t="e">
        <f>VLOOKUP($I162,'AnmeldeVSS-Attribute'!$A$2:$H$16,4,FALSE)</f>
        <v>#N/A</v>
      </c>
      <c r="Z162" s="42" t="e">
        <f>VLOOKUP($I162,'AnmeldeVSS-Attribute'!$A$2:$H$16,5,FALSE)</f>
        <v>#N/A</v>
      </c>
      <c r="AA162" s="42" t="e">
        <f>VLOOKUP($I162,'AnmeldeVSS-Attribute'!$A$2:$H$16,6,FALSE)</f>
        <v>#N/A</v>
      </c>
      <c r="AB162" s="42" t="e">
        <f>VLOOKUP($I162,'AnmeldeVSS-Attribute'!$A$2:$H$16,7,FALSE)</f>
        <v>#N/A</v>
      </c>
      <c r="AC162" s="42" t="e">
        <f>IF(I162="Geldbetrag",J162,(IF(T162="",VLOOKUP($I162,'AnmeldeVSS-Attribute'!$A$2:$H$16,8,FALSE),T162)))</f>
        <v>#N/A</v>
      </c>
      <c r="AD162" s="42">
        <f>IF(S162="",0,VLOOKUP(S162,'AnmeldeVSS-Attribute'!$A$20:$B$26,2,FALSE))</f>
        <v>0</v>
      </c>
      <c r="AE162" s="42" t="e">
        <f t="shared" si="13"/>
        <v>#N/A</v>
      </c>
      <c r="AF162" s="42" t="str">
        <f t="shared" si="14"/>
        <v/>
      </c>
      <c r="AG162" s="42" t="str">
        <f t="shared" si="15"/>
        <v/>
      </c>
      <c r="AH162" s="47" t="str">
        <f t="shared" si="16"/>
        <v/>
      </c>
      <c r="AI162" s="47" t="str">
        <f t="shared" si="17"/>
        <v/>
      </c>
      <c r="AJ162" s="42" t="str">
        <f>IF(O162="",(IF(P162="Ansicht","INSERT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B162 &amp;" ,NULL ,'',349,"&amp; VLOOKUP(Q162,'AnmeldeVSS-Attribute'!$A$43:$B$50,2,FALSE)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B162 &amp;" ,"&amp; O162 &amp;" ,"&amp; IF(Q162="ja","'1'",IF(Q162="nein","'0'","'"&amp;Q162&amp;"'")) &amp;","&amp;IF(P162="enthält",349,IF(P162="nicht leer",352,IF(P162="enthält nicht",350,IF(P162="leer",351,0)))) &amp;" ,NULL ,GetDate() ,'scrc' ,GetDate() ,'scrc')")</f>
        <v/>
      </c>
      <c r="AK162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3" spans="1:37" x14ac:dyDescent="0.25">
      <c r="A163" s="66"/>
      <c r="B163" s="63"/>
      <c r="C163" s="64"/>
      <c r="D163" s="64"/>
      <c r="E163" s="63"/>
      <c r="F163" s="63"/>
      <c r="G163" s="64"/>
      <c r="H163" s="64"/>
      <c r="I163" s="64"/>
      <c r="J163" s="63"/>
      <c r="K163" s="63"/>
      <c r="L163" s="63"/>
      <c r="M163" s="63"/>
      <c r="N163" s="63"/>
      <c r="O163" s="63"/>
      <c r="P163" s="63"/>
      <c r="Q163" s="64"/>
      <c r="R163" s="63"/>
      <c r="S163" s="63"/>
      <c r="T163" s="65"/>
      <c r="U163" s="65"/>
      <c r="W163" s="42" t="e">
        <f>VLOOKUP($I163,'AnmeldeVSS-Attribute'!$A$2:$H$16,2,FALSE)</f>
        <v>#N/A</v>
      </c>
      <c r="X163" s="42" t="e">
        <f>VLOOKUP($I163,'AnmeldeVSS-Attribute'!$A$2:$H$16,3,FALSE)</f>
        <v>#N/A</v>
      </c>
      <c r="Y163" s="42" t="e">
        <f>VLOOKUP($I163,'AnmeldeVSS-Attribute'!$A$2:$H$16,4,FALSE)</f>
        <v>#N/A</v>
      </c>
      <c r="Z163" s="42" t="e">
        <f>VLOOKUP($I163,'AnmeldeVSS-Attribute'!$A$2:$H$16,5,FALSE)</f>
        <v>#N/A</v>
      </c>
      <c r="AA163" s="42" t="e">
        <f>VLOOKUP($I163,'AnmeldeVSS-Attribute'!$A$2:$H$16,6,FALSE)</f>
        <v>#N/A</v>
      </c>
      <c r="AB163" s="42" t="e">
        <f>VLOOKUP($I163,'AnmeldeVSS-Attribute'!$A$2:$H$16,7,FALSE)</f>
        <v>#N/A</v>
      </c>
      <c r="AC163" s="42" t="e">
        <f>IF(I163="Geldbetrag",J163,(IF(T163="",VLOOKUP($I163,'AnmeldeVSS-Attribute'!$A$2:$H$16,8,FALSE),T163)))</f>
        <v>#N/A</v>
      </c>
      <c r="AD163" s="42">
        <f>IF(S163="",0,VLOOKUP(S163,'AnmeldeVSS-Attribute'!$A$20:$B$26,2,FALSE))</f>
        <v>0</v>
      </c>
      <c r="AE163" s="42" t="e">
        <f t="shared" si="13"/>
        <v>#N/A</v>
      </c>
      <c r="AF163" s="42" t="str">
        <f t="shared" si="14"/>
        <v/>
      </c>
      <c r="AG163" s="42" t="str">
        <f t="shared" si="15"/>
        <v/>
      </c>
      <c r="AH163" s="47" t="str">
        <f t="shared" si="16"/>
        <v/>
      </c>
      <c r="AI163" s="47" t="str">
        <f t="shared" si="17"/>
        <v/>
      </c>
      <c r="AJ163" s="42" t="str">
        <f>IF(O163="",(IF(P163="Ansicht","INSERT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B163 &amp;" ,NULL ,'',349,"&amp; VLOOKUP(Q163,'AnmeldeVSS-Attribute'!$A$43:$B$50,2,FALSE)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B163 &amp;" ,"&amp; O163 &amp;" ,"&amp; IF(Q163="ja","'1'",IF(Q163="nein","'0'","'"&amp;Q163&amp;"'")) &amp;","&amp;IF(P163="enthält",349,IF(P163="nicht leer",352,IF(P163="enthält nicht",350,IF(P163="leer",351,0)))) &amp;" ,NULL ,GetDate() ,'scrc' ,GetDate() ,'scrc')")</f>
        <v/>
      </c>
      <c r="AK163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4" spans="1:37" x14ac:dyDescent="0.25">
      <c r="A164" s="68"/>
      <c r="B164" s="63"/>
      <c r="C164" s="64"/>
      <c r="D164" s="64"/>
      <c r="E164" s="63"/>
      <c r="F164" s="63"/>
      <c r="G164" s="64"/>
      <c r="H164" s="64"/>
      <c r="I164" s="64"/>
      <c r="J164" s="63"/>
      <c r="K164" s="63"/>
      <c r="L164" s="63"/>
      <c r="M164" s="66"/>
      <c r="N164" s="63"/>
      <c r="O164" s="63"/>
      <c r="P164" s="63"/>
      <c r="Q164" s="64"/>
      <c r="R164" s="63"/>
      <c r="S164" s="63"/>
      <c r="T164" s="65"/>
      <c r="U164" s="65"/>
      <c r="W164" s="42" t="e">
        <f>VLOOKUP($I164,'AnmeldeVSS-Attribute'!$A$2:$H$16,2,FALSE)</f>
        <v>#N/A</v>
      </c>
      <c r="X164" s="42" t="e">
        <f>VLOOKUP($I164,'AnmeldeVSS-Attribute'!$A$2:$H$16,3,FALSE)</f>
        <v>#N/A</v>
      </c>
      <c r="Y164" s="42" t="e">
        <f>VLOOKUP($I164,'AnmeldeVSS-Attribute'!$A$2:$H$16,4,FALSE)</f>
        <v>#N/A</v>
      </c>
      <c r="Z164" s="42" t="e">
        <f>VLOOKUP($I164,'AnmeldeVSS-Attribute'!$A$2:$H$16,5,FALSE)</f>
        <v>#N/A</v>
      </c>
      <c r="AA164" s="42" t="e">
        <f>VLOOKUP($I164,'AnmeldeVSS-Attribute'!$A$2:$H$16,6,FALSE)</f>
        <v>#N/A</v>
      </c>
      <c r="AB164" s="42" t="e">
        <f>VLOOKUP($I164,'AnmeldeVSS-Attribute'!$A$2:$H$16,7,FALSE)</f>
        <v>#N/A</v>
      </c>
      <c r="AC164" s="42" t="e">
        <f>IF(I164="Geldbetrag",J164,(IF(T164="",VLOOKUP($I164,'AnmeldeVSS-Attribute'!$A$2:$H$16,8,FALSE),T164)))</f>
        <v>#N/A</v>
      </c>
      <c r="AD164" s="42">
        <f>IF(S164="",0,VLOOKUP(S164,'AnmeldeVSS-Attribute'!$A$20:$B$26,2,FALSE))</f>
        <v>0</v>
      </c>
      <c r="AE164" s="42" t="e">
        <f t="shared" si="13"/>
        <v>#N/A</v>
      </c>
      <c r="AF164" s="42" t="str">
        <f t="shared" si="14"/>
        <v/>
      </c>
      <c r="AG164" s="42" t="str">
        <f t="shared" si="15"/>
        <v/>
      </c>
      <c r="AH164" s="47" t="str">
        <f t="shared" si="16"/>
        <v/>
      </c>
      <c r="AI164" s="47" t="str">
        <f t="shared" si="17"/>
        <v/>
      </c>
      <c r="AJ164" s="42" t="str">
        <f>IF(O164="",(IF(P164="Ansicht","INSERT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B164 &amp;" ,NULL ,'',349,"&amp; VLOOKUP(Q164,'AnmeldeVSS-Attribute'!$A$43:$B$50,2,FALSE)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B164 &amp;" ,"&amp; O164 &amp;" ,"&amp; IF(Q164="ja","'1'",IF(Q164="nein","'0'","'"&amp;Q164&amp;"'")) &amp;","&amp;IF(P164="enthält",349,IF(P164="nicht leer",352,IF(P164="enthält nicht",350,IF(P164="leer",351,0)))) &amp;" ,NULL ,GetDate() ,'scrc' ,GetDate() ,'scrc')")</f>
        <v/>
      </c>
      <c r="AK164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5" spans="1:37" x14ac:dyDescent="0.25">
      <c r="A165" s="66"/>
      <c r="B165" s="63"/>
      <c r="C165" s="64"/>
      <c r="D165" s="64"/>
      <c r="E165" s="63"/>
      <c r="F165" s="63"/>
      <c r="G165" s="64"/>
      <c r="H165" s="64"/>
      <c r="I165" s="64"/>
      <c r="J165" s="63"/>
      <c r="K165" s="63"/>
      <c r="L165" s="63"/>
      <c r="M165" s="63"/>
      <c r="N165" s="63"/>
      <c r="O165" s="63"/>
      <c r="P165" s="63"/>
      <c r="Q165" s="64"/>
      <c r="R165" s="63"/>
      <c r="S165" s="63"/>
      <c r="T165" s="65"/>
      <c r="U165" s="65"/>
      <c r="W165" s="42" t="e">
        <f>VLOOKUP($I165,'AnmeldeVSS-Attribute'!$A$2:$H$16,2,FALSE)</f>
        <v>#N/A</v>
      </c>
      <c r="X165" s="42" t="e">
        <f>VLOOKUP($I165,'AnmeldeVSS-Attribute'!$A$2:$H$16,3,FALSE)</f>
        <v>#N/A</v>
      </c>
      <c r="Y165" s="42" t="e">
        <f>VLOOKUP($I165,'AnmeldeVSS-Attribute'!$A$2:$H$16,4,FALSE)</f>
        <v>#N/A</v>
      </c>
      <c r="Z165" s="42" t="e">
        <f>VLOOKUP($I165,'AnmeldeVSS-Attribute'!$A$2:$H$16,5,FALSE)</f>
        <v>#N/A</v>
      </c>
      <c r="AA165" s="42" t="e">
        <f>VLOOKUP($I165,'AnmeldeVSS-Attribute'!$A$2:$H$16,6,FALSE)</f>
        <v>#N/A</v>
      </c>
      <c r="AB165" s="42" t="e">
        <f>VLOOKUP($I165,'AnmeldeVSS-Attribute'!$A$2:$H$16,7,FALSE)</f>
        <v>#N/A</v>
      </c>
      <c r="AC165" s="42" t="e">
        <f>IF(I165="Geldbetrag",J165,(IF(T165="",VLOOKUP($I165,'AnmeldeVSS-Attribute'!$A$2:$H$16,8,FALSE),T165)))</f>
        <v>#N/A</v>
      </c>
      <c r="AD165" s="42">
        <f>IF(S165="",0,VLOOKUP(S165,'AnmeldeVSS-Attribute'!$A$20:$B$26,2,FALSE))</f>
        <v>0</v>
      </c>
      <c r="AE165" s="42" t="e">
        <f t="shared" si="13"/>
        <v>#N/A</v>
      </c>
      <c r="AF165" s="42" t="str">
        <f t="shared" si="14"/>
        <v/>
      </c>
      <c r="AG165" s="42" t="str">
        <f t="shared" si="15"/>
        <v/>
      </c>
      <c r="AH165" s="47" t="str">
        <f t="shared" si="16"/>
        <v/>
      </c>
      <c r="AI165" s="47" t="str">
        <f t="shared" si="17"/>
        <v/>
      </c>
      <c r="AJ165" s="42" t="str">
        <f>IF(O165="",(IF(P165="Ansicht","INSERT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B165 &amp;" ,NULL ,'',349,"&amp; VLOOKUP(Q165,'AnmeldeVSS-Attribute'!$A$43:$B$50,2,FALSE)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B165 &amp;" ,"&amp; O165 &amp;" ,"&amp; IF(Q165="ja","'1'",IF(Q165="nein","'0'","'"&amp;Q165&amp;"'")) &amp;","&amp;IF(P165="enthält",349,IF(P165="nicht leer",352,IF(P165="enthält nicht",350,IF(P165="leer",351,0)))) &amp;" ,NULL ,GetDate() ,'scrc' ,GetDate() ,'scrc')")</f>
        <v/>
      </c>
      <c r="AK165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6" spans="1:37" x14ac:dyDescent="0.25">
      <c r="A166" s="68"/>
      <c r="B166" s="63"/>
      <c r="C166" s="64"/>
      <c r="D166" s="64"/>
      <c r="E166" s="63"/>
      <c r="F166" s="63"/>
      <c r="G166" s="64"/>
      <c r="H166" s="64"/>
      <c r="I166" s="64"/>
      <c r="J166" s="63"/>
      <c r="K166" s="63"/>
      <c r="L166" s="63"/>
      <c r="M166" s="63"/>
      <c r="N166" s="63"/>
      <c r="O166" s="63"/>
      <c r="P166" s="63"/>
      <c r="Q166" s="64"/>
      <c r="R166" s="63"/>
      <c r="S166" s="63"/>
      <c r="T166" s="65"/>
      <c r="U166" s="65"/>
      <c r="W166" s="42" t="e">
        <f>VLOOKUP($I166,'AnmeldeVSS-Attribute'!$A$2:$H$16,2,FALSE)</f>
        <v>#N/A</v>
      </c>
      <c r="X166" s="42" t="e">
        <f>VLOOKUP($I166,'AnmeldeVSS-Attribute'!$A$2:$H$16,3,FALSE)</f>
        <v>#N/A</v>
      </c>
      <c r="Y166" s="42" t="e">
        <f>VLOOKUP($I166,'AnmeldeVSS-Attribute'!$A$2:$H$16,4,FALSE)</f>
        <v>#N/A</v>
      </c>
      <c r="Z166" s="42" t="e">
        <f>VLOOKUP($I166,'AnmeldeVSS-Attribute'!$A$2:$H$16,5,FALSE)</f>
        <v>#N/A</v>
      </c>
      <c r="AA166" s="42" t="e">
        <f>VLOOKUP($I166,'AnmeldeVSS-Attribute'!$A$2:$H$16,6,FALSE)</f>
        <v>#N/A</v>
      </c>
      <c r="AB166" s="42" t="e">
        <f>VLOOKUP($I166,'AnmeldeVSS-Attribute'!$A$2:$H$16,7,FALSE)</f>
        <v>#N/A</v>
      </c>
      <c r="AC166" s="42" t="e">
        <f>IF(I166="Geldbetrag",J166,(IF(T166="",VLOOKUP($I166,'AnmeldeVSS-Attribute'!$A$2:$H$16,8,FALSE),T166)))</f>
        <v>#N/A</v>
      </c>
      <c r="AD166" s="42">
        <f>IF(S166="",0,VLOOKUP(S166,'AnmeldeVSS-Attribute'!$A$20:$B$26,2,FALSE))</f>
        <v>0</v>
      </c>
      <c r="AE166" s="42" t="e">
        <f t="shared" si="13"/>
        <v>#N/A</v>
      </c>
      <c r="AF166" s="42" t="str">
        <f t="shared" si="14"/>
        <v/>
      </c>
      <c r="AG166" s="42" t="str">
        <f t="shared" si="15"/>
        <v/>
      </c>
      <c r="AH166" s="47" t="str">
        <f t="shared" si="16"/>
        <v/>
      </c>
      <c r="AI166" s="47" t="str">
        <f t="shared" si="17"/>
        <v/>
      </c>
      <c r="AJ166" s="42" t="str">
        <f>IF(O166="",(IF(P166="Ansicht","INSERT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B166 &amp;" ,NULL ,'',349,"&amp; VLOOKUP(Q166,'AnmeldeVSS-Attribute'!$A$43:$B$50,2,FALSE)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B166 &amp;" ,"&amp; O166 &amp;" ,"&amp; IF(Q166="ja","'1'",IF(Q166="nein","'0'","'"&amp;Q166&amp;"'")) &amp;","&amp;IF(P166="enthält",349,IF(P166="nicht leer",352,IF(P166="enthält nicht",350,IF(P166="leer",351,0)))) &amp;" ,NULL ,GetDate() ,'scrc' ,GetDate() ,'scrc')")</f>
        <v/>
      </c>
      <c r="AK166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7" spans="1:37" x14ac:dyDescent="0.25">
      <c r="A167" s="66"/>
      <c r="B167" s="63"/>
      <c r="C167" s="64"/>
      <c r="D167" s="64"/>
      <c r="E167" s="63"/>
      <c r="F167" s="63"/>
      <c r="G167" s="64"/>
      <c r="H167" s="64"/>
      <c r="I167" s="64"/>
      <c r="J167" s="63"/>
      <c r="K167" s="63"/>
      <c r="L167" s="63"/>
      <c r="M167" s="63"/>
      <c r="N167" s="63"/>
      <c r="O167" s="63"/>
      <c r="P167" s="63"/>
      <c r="Q167" s="64"/>
      <c r="R167" s="63"/>
      <c r="S167" s="63"/>
      <c r="T167" s="65"/>
      <c r="U167" s="65"/>
      <c r="W167" s="42" t="e">
        <f>VLOOKUP($I167,'AnmeldeVSS-Attribute'!$A$2:$H$16,2,FALSE)</f>
        <v>#N/A</v>
      </c>
      <c r="X167" s="42" t="e">
        <f>VLOOKUP($I167,'AnmeldeVSS-Attribute'!$A$2:$H$16,3,FALSE)</f>
        <v>#N/A</v>
      </c>
      <c r="Y167" s="42" t="e">
        <f>VLOOKUP($I167,'AnmeldeVSS-Attribute'!$A$2:$H$16,4,FALSE)</f>
        <v>#N/A</v>
      </c>
      <c r="Z167" s="42" t="e">
        <f>VLOOKUP($I167,'AnmeldeVSS-Attribute'!$A$2:$H$16,5,FALSE)</f>
        <v>#N/A</v>
      </c>
      <c r="AA167" s="42" t="e">
        <f>VLOOKUP($I167,'AnmeldeVSS-Attribute'!$A$2:$H$16,6,FALSE)</f>
        <v>#N/A</v>
      </c>
      <c r="AB167" s="42" t="e">
        <f>VLOOKUP($I167,'AnmeldeVSS-Attribute'!$A$2:$H$16,7,FALSE)</f>
        <v>#N/A</v>
      </c>
      <c r="AC167" s="42" t="e">
        <f>IF(I167="Geldbetrag",J167,(IF(T167="",VLOOKUP($I167,'AnmeldeVSS-Attribute'!$A$2:$H$16,8,FALSE),T167)))</f>
        <v>#N/A</v>
      </c>
      <c r="AD167" s="42">
        <f>IF(S167="",0,VLOOKUP(S167,'AnmeldeVSS-Attribute'!$A$20:$B$26,2,FALSE))</f>
        <v>0</v>
      </c>
      <c r="AE167" s="42" t="e">
        <f t="shared" si="13"/>
        <v>#N/A</v>
      </c>
      <c r="AF167" s="42" t="str">
        <f t="shared" si="14"/>
        <v/>
      </c>
      <c r="AG167" s="42" t="str">
        <f t="shared" si="15"/>
        <v/>
      </c>
      <c r="AH167" s="47" t="str">
        <f t="shared" si="16"/>
        <v/>
      </c>
      <c r="AI167" s="47" t="str">
        <f t="shared" si="17"/>
        <v/>
      </c>
      <c r="AJ167" s="42" t="str">
        <f>IF(O167="",(IF(P167="Ansicht","INSERT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B167 &amp;" ,NULL ,'',349,"&amp; VLOOKUP(Q167,'AnmeldeVSS-Attribute'!$A$43:$B$50,2,FALSE)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B167 &amp;" ,"&amp; O167 &amp;" ,"&amp; IF(Q167="ja","'1'",IF(Q167="nein","'0'","'"&amp;Q167&amp;"'")) &amp;","&amp;IF(P167="enthält",349,IF(P167="nicht leer",352,IF(P167="enthält nicht",350,IF(P167="leer",351,0)))) &amp;" ,NULL ,GetDate() ,'scrc' ,GetDate() ,'scrc')")</f>
        <v/>
      </c>
      <c r="AK167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8" spans="1:37" x14ac:dyDescent="0.25">
      <c r="A168" s="68"/>
      <c r="B168" s="63"/>
      <c r="C168" s="64"/>
      <c r="D168" s="64"/>
      <c r="E168" s="63"/>
      <c r="F168" s="63"/>
      <c r="G168" s="64"/>
      <c r="H168" s="64"/>
      <c r="I168" s="64"/>
      <c r="J168" s="63"/>
      <c r="K168" s="63"/>
      <c r="L168" s="63"/>
      <c r="M168" s="63"/>
      <c r="N168" s="63"/>
      <c r="O168" s="63"/>
      <c r="P168" s="63"/>
      <c r="Q168" s="64"/>
      <c r="R168" s="63"/>
      <c r="S168" s="63"/>
      <c r="T168" s="65"/>
      <c r="U168" s="65"/>
      <c r="W168" s="42" t="e">
        <f>VLOOKUP($I168,'AnmeldeVSS-Attribute'!$A$2:$H$16,2,FALSE)</f>
        <v>#N/A</v>
      </c>
      <c r="X168" s="42" t="e">
        <f>VLOOKUP($I168,'AnmeldeVSS-Attribute'!$A$2:$H$16,3,FALSE)</f>
        <v>#N/A</v>
      </c>
      <c r="Y168" s="42" t="e">
        <f>VLOOKUP($I168,'AnmeldeVSS-Attribute'!$A$2:$H$16,4,FALSE)</f>
        <v>#N/A</v>
      </c>
      <c r="Z168" s="42" t="e">
        <f>VLOOKUP($I168,'AnmeldeVSS-Attribute'!$A$2:$H$16,5,FALSE)</f>
        <v>#N/A</v>
      </c>
      <c r="AA168" s="42" t="e">
        <f>VLOOKUP($I168,'AnmeldeVSS-Attribute'!$A$2:$H$16,6,FALSE)</f>
        <v>#N/A</v>
      </c>
      <c r="AB168" s="42" t="e">
        <f>VLOOKUP($I168,'AnmeldeVSS-Attribute'!$A$2:$H$16,7,FALSE)</f>
        <v>#N/A</v>
      </c>
      <c r="AC168" s="42" t="e">
        <f>IF(I168="Geldbetrag",J168,(IF(T168="",VLOOKUP($I168,'AnmeldeVSS-Attribute'!$A$2:$H$16,8,FALSE),T168)))</f>
        <v>#N/A</v>
      </c>
      <c r="AD168" s="42">
        <f>IF(S168="",0,VLOOKUP(S168,'AnmeldeVSS-Attribute'!$A$20:$B$26,2,FALSE))</f>
        <v>0</v>
      </c>
      <c r="AE168" s="42" t="e">
        <f t="shared" si="13"/>
        <v>#N/A</v>
      </c>
      <c r="AF168" s="42" t="str">
        <f t="shared" si="14"/>
        <v/>
      </c>
      <c r="AG168" s="42" t="str">
        <f t="shared" si="15"/>
        <v/>
      </c>
      <c r="AH168" s="47" t="str">
        <f t="shared" si="16"/>
        <v/>
      </c>
      <c r="AI168" s="47" t="str">
        <f t="shared" si="17"/>
        <v/>
      </c>
      <c r="AJ168" s="42" t="str">
        <f>IF(O168="",(IF(P168="Ansicht","INSERT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B168 &amp;" ,NULL ,'',349,"&amp; VLOOKUP(Q168,'AnmeldeVSS-Attribute'!$A$43:$B$50,2,FALSE)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B168 &amp;" ,"&amp; O168 &amp;" ,"&amp; IF(Q168="ja","'1'",IF(Q168="nein","'0'","'"&amp;Q168&amp;"'")) &amp;","&amp;IF(P168="enthält",349,IF(P168="nicht leer",352,IF(P168="enthält nicht",350,IF(P168="leer",351,0)))) &amp;" ,NULL ,GetDate() ,'scrc' ,GetDate() ,'scrc')")</f>
        <v/>
      </c>
      <c r="AK168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69" spans="1:37" x14ac:dyDescent="0.25">
      <c r="A169" s="71"/>
      <c r="B169" s="71"/>
      <c r="C169" s="71"/>
      <c r="D169" s="71"/>
      <c r="E169" s="66"/>
      <c r="F169" s="76"/>
      <c r="G169" s="71"/>
      <c r="H169" s="71"/>
      <c r="I169" s="71"/>
      <c r="J169" s="71"/>
      <c r="K169" s="71"/>
      <c r="L169" s="71"/>
      <c r="M169" s="70"/>
      <c r="N169" s="70"/>
      <c r="O169" s="70"/>
      <c r="P169" s="70"/>
      <c r="Q169" s="71"/>
      <c r="R169" s="70"/>
      <c r="S169" s="70"/>
      <c r="T169" s="65"/>
      <c r="U169" s="65"/>
      <c r="W169" s="42" t="e">
        <f>VLOOKUP($I169,'AnmeldeVSS-Attribute'!$A$2:$H$16,2,FALSE)</f>
        <v>#N/A</v>
      </c>
      <c r="X169" s="42" t="e">
        <f>VLOOKUP($I169,'AnmeldeVSS-Attribute'!$A$2:$H$16,3,FALSE)</f>
        <v>#N/A</v>
      </c>
      <c r="Y169" s="42" t="e">
        <f>VLOOKUP($I169,'AnmeldeVSS-Attribute'!$A$2:$H$16,4,FALSE)</f>
        <v>#N/A</v>
      </c>
      <c r="Z169" s="42" t="e">
        <f>VLOOKUP($I169,'AnmeldeVSS-Attribute'!$A$2:$H$16,5,FALSE)</f>
        <v>#N/A</v>
      </c>
      <c r="AA169" s="42" t="e">
        <f>VLOOKUP($I169,'AnmeldeVSS-Attribute'!$A$2:$H$16,6,FALSE)</f>
        <v>#N/A</v>
      </c>
      <c r="AB169" s="42" t="e">
        <f>VLOOKUP($I169,'AnmeldeVSS-Attribute'!$A$2:$H$16,7,FALSE)</f>
        <v>#N/A</v>
      </c>
      <c r="AC169" s="42" t="e">
        <f>IF(I169="Geldbetrag",J169,(IF(T169="",VLOOKUP($I169,'AnmeldeVSS-Attribute'!$A$2:$H$16,8,FALSE),T169)))</f>
        <v>#N/A</v>
      </c>
      <c r="AD169" s="42">
        <f>IF(S169="",0,VLOOKUP(S169,'AnmeldeVSS-Attribute'!$A$20:$B$26,2,FALSE))</f>
        <v>0</v>
      </c>
      <c r="AE169" s="42" t="e">
        <f t="shared" si="13"/>
        <v>#N/A</v>
      </c>
      <c r="AF169" s="42" t="str">
        <f t="shared" si="14"/>
        <v/>
      </c>
      <c r="AG169" s="42" t="str">
        <f t="shared" si="15"/>
        <v/>
      </c>
      <c r="AH169" s="47" t="str">
        <f t="shared" si="16"/>
        <v/>
      </c>
      <c r="AI169" s="47" t="str">
        <f t="shared" si="17"/>
        <v/>
      </c>
      <c r="AJ169" s="42" t="str">
        <f>IF(O169="",(IF(P169="Ansicht","INSERT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B169 &amp;" ,NULL ,'',349,"&amp; VLOOKUP(Q169,'AnmeldeVSS-Attribute'!$A$43:$B$50,2,FALSE)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B169 &amp;" ,"&amp; O169 &amp;" ,"&amp; IF(Q169="ja","'1'",IF(Q169="nein","'0'","'"&amp;Q169&amp;"'")) &amp;","&amp;IF(P169="enthält",349,IF(P169="nicht leer",352,IF(P169="enthält nicht",350,IF(P169="leer",351,0)))) &amp;" ,NULL ,GetDate() ,'scrc' ,GetDate() ,'scrc')")</f>
        <v/>
      </c>
      <c r="AK169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0" spans="1:37" x14ac:dyDescent="0.25">
      <c r="A170" s="68"/>
      <c r="B170" s="68"/>
      <c r="C170" s="68"/>
      <c r="D170" s="68"/>
      <c r="E170" s="66"/>
      <c r="F170" s="64"/>
      <c r="G170" s="68"/>
      <c r="H170" s="68"/>
      <c r="I170" s="68"/>
      <c r="J170" s="68"/>
      <c r="K170" s="68"/>
      <c r="L170" s="68"/>
      <c r="M170" s="66"/>
      <c r="N170" s="66"/>
      <c r="O170" s="66"/>
      <c r="P170" s="66"/>
      <c r="Q170" s="68"/>
      <c r="R170" s="66"/>
      <c r="S170" s="66"/>
      <c r="T170" s="65"/>
      <c r="U170" s="65"/>
      <c r="W170" s="42" t="e">
        <f>VLOOKUP($I170,'AnmeldeVSS-Attribute'!$A$2:$H$16,2,FALSE)</f>
        <v>#N/A</v>
      </c>
      <c r="X170" s="42" t="e">
        <f>VLOOKUP($I170,'AnmeldeVSS-Attribute'!$A$2:$H$16,3,FALSE)</f>
        <v>#N/A</v>
      </c>
      <c r="Y170" s="42" t="e">
        <f>VLOOKUP($I170,'AnmeldeVSS-Attribute'!$A$2:$H$16,4,FALSE)</f>
        <v>#N/A</v>
      </c>
      <c r="Z170" s="42" t="e">
        <f>VLOOKUP($I170,'AnmeldeVSS-Attribute'!$A$2:$H$16,5,FALSE)</f>
        <v>#N/A</v>
      </c>
      <c r="AA170" s="42" t="e">
        <f>VLOOKUP($I170,'AnmeldeVSS-Attribute'!$A$2:$H$16,6,FALSE)</f>
        <v>#N/A</v>
      </c>
      <c r="AB170" s="42" t="e">
        <f>VLOOKUP($I170,'AnmeldeVSS-Attribute'!$A$2:$H$16,7,FALSE)</f>
        <v>#N/A</v>
      </c>
      <c r="AC170" s="42" t="e">
        <f>IF(I170="Geldbetrag",J170,(IF(T170="",VLOOKUP($I170,'AnmeldeVSS-Attribute'!$A$2:$H$16,8,FALSE),T170)))</f>
        <v>#N/A</v>
      </c>
      <c r="AD170" s="42">
        <f>IF(S170="",0,VLOOKUP(S170,'AnmeldeVSS-Attribute'!$A$20:$B$26,2,FALSE))</f>
        <v>0</v>
      </c>
      <c r="AE170" s="42" t="e">
        <f t="shared" si="13"/>
        <v>#N/A</v>
      </c>
      <c r="AF170" s="42" t="str">
        <f t="shared" si="14"/>
        <v/>
      </c>
      <c r="AG170" s="42" t="str">
        <f t="shared" si="15"/>
        <v/>
      </c>
      <c r="AH170" s="47" t="str">
        <f t="shared" si="16"/>
        <v/>
      </c>
      <c r="AI170" s="47" t="str">
        <f t="shared" si="17"/>
        <v/>
      </c>
      <c r="AJ170" s="42" t="str">
        <f>IF(O170="",(IF(P170="Ansicht","INSERT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B170 &amp;" ,NULL ,'',349,"&amp; VLOOKUP(Q170,'AnmeldeVSS-Attribute'!$A$43:$B$50,2,FALSE)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B170 &amp;" ,"&amp; O170 &amp;" ,"&amp; IF(Q170="ja","'1'",IF(Q170="nein","'0'","'"&amp;Q170&amp;"'")) &amp;","&amp;IF(P170="enthält",349,IF(P170="nicht leer",352,IF(P170="enthält nicht",350,IF(P170="leer",351,0)))) &amp;" ,NULL ,GetDate() ,'scrc' ,GetDate() ,'scrc')")</f>
        <v/>
      </c>
      <c r="AK170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1" spans="1:37" x14ac:dyDescent="0.25">
      <c r="A171" s="68"/>
      <c r="B171" s="64"/>
      <c r="C171" s="64"/>
      <c r="D171" s="64"/>
      <c r="E171" s="63"/>
      <c r="F171" s="64"/>
      <c r="G171" s="64"/>
      <c r="H171" s="64"/>
      <c r="I171" s="64"/>
      <c r="J171" s="64"/>
      <c r="K171" s="64"/>
      <c r="L171" s="64"/>
      <c r="M171" s="63"/>
      <c r="N171" s="63"/>
      <c r="O171" s="63"/>
      <c r="P171" s="63"/>
      <c r="Q171" s="64"/>
      <c r="R171" s="63"/>
      <c r="S171" s="63"/>
      <c r="T171" s="65"/>
      <c r="U171" s="65"/>
      <c r="V171"/>
      <c r="W171" s="42" t="e">
        <f>VLOOKUP($I171,'AnmeldeVSS-Attribute'!$A$2:$H$16,2,FALSE)</f>
        <v>#N/A</v>
      </c>
      <c r="X171" s="42" t="e">
        <f>VLOOKUP($I171,'AnmeldeVSS-Attribute'!$A$2:$H$16,3,FALSE)</f>
        <v>#N/A</v>
      </c>
      <c r="Y171" s="42" t="e">
        <f>VLOOKUP($I171,'AnmeldeVSS-Attribute'!$A$2:$H$16,4,FALSE)</f>
        <v>#N/A</v>
      </c>
      <c r="Z171" s="42" t="e">
        <f>VLOOKUP($I171,'AnmeldeVSS-Attribute'!$A$2:$H$16,5,FALSE)</f>
        <v>#N/A</v>
      </c>
      <c r="AA171" s="42" t="e">
        <f>VLOOKUP($I171,'AnmeldeVSS-Attribute'!$A$2:$H$16,6,FALSE)</f>
        <v>#N/A</v>
      </c>
      <c r="AB171" s="42" t="e">
        <f>VLOOKUP($I171,'AnmeldeVSS-Attribute'!$A$2:$H$16,7,FALSE)</f>
        <v>#N/A</v>
      </c>
      <c r="AC171" s="42" t="e">
        <f>IF(I171="Geldbetrag",J171,(IF(T171="",VLOOKUP($I171,'AnmeldeVSS-Attribute'!$A$2:$H$16,8,FALSE),T171)))</f>
        <v>#N/A</v>
      </c>
      <c r="AD171" s="42">
        <f>IF(S171="",0,VLOOKUP(S171,'AnmeldeVSS-Attribute'!$A$20:$B$26,2,FALSE))</f>
        <v>0</v>
      </c>
      <c r="AE171" s="42" t="e">
        <f t="shared" si="13"/>
        <v>#N/A</v>
      </c>
      <c r="AF171" s="42" t="str">
        <f t="shared" si="14"/>
        <v/>
      </c>
      <c r="AG171" s="42" t="str">
        <f t="shared" si="15"/>
        <v/>
      </c>
      <c r="AH171" s="47" t="str">
        <f t="shared" si="16"/>
        <v/>
      </c>
      <c r="AI171" s="47" t="str">
        <f t="shared" si="17"/>
        <v/>
      </c>
      <c r="AJ171" s="42" t="str">
        <f>IF(O171="",(IF(P171="Ansicht","INSERT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B171 &amp;" ,NULL ,'',349,"&amp; VLOOKUP(Q171,'AnmeldeVSS-Attribute'!$A$43:$B$50,2,FALSE)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B171 &amp;" ,"&amp; O171 &amp;" ,"&amp; IF(Q171="ja","'1'",IF(Q171="nein","'0'","'"&amp;Q171&amp;"'")) &amp;","&amp;IF(P171="enthält",349,IF(P171="nicht leer",352,IF(P171="enthält nicht",350,IF(P171="leer",351,0)))) &amp;" ,NULL ,GetDate() ,'scrc' ,GetDate() ,'scrc')")</f>
        <v/>
      </c>
      <c r="AK171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2" spans="1:37" x14ac:dyDescent="0.25">
      <c r="A172" s="66"/>
      <c r="B172" s="63"/>
      <c r="C172" s="64"/>
      <c r="D172" s="64"/>
      <c r="E172" s="63"/>
      <c r="F172" s="64"/>
      <c r="G172" s="64"/>
      <c r="H172" s="64"/>
      <c r="I172" s="64"/>
      <c r="J172" s="64"/>
      <c r="K172" s="64"/>
      <c r="L172" s="64"/>
      <c r="M172" s="63"/>
      <c r="N172" s="63"/>
      <c r="O172" s="63"/>
      <c r="P172" s="63"/>
      <c r="Q172" s="64"/>
      <c r="R172" s="63"/>
      <c r="S172" s="63"/>
      <c r="T172" s="65"/>
      <c r="U172" s="65"/>
      <c r="V172"/>
      <c r="W172" s="42" t="e">
        <f>VLOOKUP($I172,'AnmeldeVSS-Attribute'!$A$2:$H$16,2,FALSE)</f>
        <v>#N/A</v>
      </c>
      <c r="X172" s="42" t="e">
        <f>VLOOKUP($I172,'AnmeldeVSS-Attribute'!$A$2:$H$16,3,FALSE)</f>
        <v>#N/A</v>
      </c>
      <c r="Y172" s="42" t="e">
        <f>VLOOKUP($I172,'AnmeldeVSS-Attribute'!$A$2:$H$16,4,FALSE)</f>
        <v>#N/A</v>
      </c>
      <c r="Z172" s="42" t="e">
        <f>VLOOKUP($I172,'AnmeldeVSS-Attribute'!$A$2:$H$16,5,FALSE)</f>
        <v>#N/A</v>
      </c>
      <c r="AA172" s="42" t="e">
        <f>VLOOKUP($I172,'AnmeldeVSS-Attribute'!$A$2:$H$16,6,FALSE)</f>
        <v>#N/A</v>
      </c>
      <c r="AB172" s="42" t="e">
        <f>VLOOKUP($I172,'AnmeldeVSS-Attribute'!$A$2:$H$16,7,FALSE)</f>
        <v>#N/A</v>
      </c>
      <c r="AC172" s="42" t="e">
        <f>IF(I172="Geldbetrag",J172,(IF(T172="",VLOOKUP($I172,'AnmeldeVSS-Attribute'!$A$2:$H$16,8,FALSE),T172)))</f>
        <v>#N/A</v>
      </c>
      <c r="AD172" s="42">
        <f>IF(S172="",0,VLOOKUP(S172,'AnmeldeVSS-Attribute'!$A$20:$B$26,2,FALSE))</f>
        <v>0</v>
      </c>
      <c r="AE172" s="42" t="e">
        <f t="shared" si="13"/>
        <v>#N/A</v>
      </c>
      <c r="AF172" s="42" t="str">
        <f t="shared" si="14"/>
        <v/>
      </c>
      <c r="AG172" s="42" t="str">
        <f t="shared" si="15"/>
        <v/>
      </c>
      <c r="AH172" s="47" t="str">
        <f t="shared" si="16"/>
        <v/>
      </c>
      <c r="AI172" s="47" t="str">
        <f t="shared" si="17"/>
        <v/>
      </c>
      <c r="AJ172" s="42" t="str">
        <f>IF(O172="",(IF(P172="Ansicht","INSERT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B172 &amp;" ,NULL ,'',349,"&amp; VLOOKUP(Q172,'AnmeldeVSS-Attribute'!$A$43:$B$50,2,FALSE)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B172 &amp;" ,"&amp; O172 &amp;" ,"&amp; IF(Q172="ja","'1'",IF(Q172="nein","'0'","'"&amp;Q172&amp;"'")) &amp;","&amp;IF(P172="enthält",349,IF(P172="nicht leer",352,IF(P172="enthält nicht",350,IF(P172="leer",351,0)))) &amp;" ,NULL ,GetDate() ,'scrc' ,GetDate() ,'scrc')")</f>
        <v/>
      </c>
      <c r="AK172" s="48" t="str">
        <f t="shared" si="1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3" spans="1:37" x14ac:dyDescent="0.25">
      <c r="A173" s="71"/>
      <c r="B173" s="71"/>
      <c r="C173" s="71"/>
      <c r="D173" s="71"/>
      <c r="E173" s="66"/>
      <c r="F173" s="71"/>
      <c r="G173" s="71"/>
      <c r="H173" s="71"/>
      <c r="I173" s="71"/>
      <c r="J173" s="71"/>
      <c r="K173" s="71"/>
      <c r="L173" s="71"/>
      <c r="M173" s="70"/>
      <c r="N173" s="70"/>
      <c r="O173" s="70"/>
      <c r="P173" s="70"/>
      <c r="Q173" s="71"/>
      <c r="R173" s="70"/>
      <c r="S173" s="70"/>
      <c r="T173" s="65"/>
      <c r="U173" s="65"/>
      <c r="V173" s="42"/>
      <c r="W173" s="42" t="e">
        <f>VLOOKUP($I173,'AnmeldeVSS-Attribute'!$A$2:$H$16,2,FALSE)</f>
        <v>#N/A</v>
      </c>
      <c r="X173" s="42" t="e">
        <f>VLOOKUP($I173,'AnmeldeVSS-Attribute'!$A$2:$H$16,3,FALSE)</f>
        <v>#N/A</v>
      </c>
      <c r="Y173" s="42" t="e">
        <f>VLOOKUP($I173,'AnmeldeVSS-Attribute'!$A$2:$H$16,4,FALSE)</f>
        <v>#N/A</v>
      </c>
      <c r="Z173" s="42" t="e">
        <f>VLOOKUP($I173,'AnmeldeVSS-Attribute'!$A$2:$H$16,5,FALSE)</f>
        <v>#N/A</v>
      </c>
      <c r="AA173" s="42" t="e">
        <f>VLOOKUP($I173,'AnmeldeVSS-Attribute'!$A$2:$H$16,6,FALSE)</f>
        <v>#N/A</v>
      </c>
      <c r="AB173" s="42" t="e">
        <f>VLOOKUP($I173,'AnmeldeVSS-Attribute'!$A$2:$H$16,7,FALSE)</f>
        <v>#N/A</v>
      </c>
      <c r="AC173" s="42" t="e">
        <f>IF(I173="Geldbetrag",J173,(IF(T173="",VLOOKUP($I173,'AnmeldeVSS-Attribute'!$A$2:$H$16,8,FALSE),T173)))</f>
        <v>#N/A</v>
      </c>
      <c r="AD173" s="42">
        <f>IF(S173="",0,VLOOKUP(S173,'AnmeldeVSS-Attribute'!$A$20:$B$26,2,FALSE))</f>
        <v>0</v>
      </c>
      <c r="AE173" s="42" t="e">
        <f t="shared" si="13"/>
        <v>#N/A</v>
      </c>
      <c r="AF173" s="42" t="str">
        <f t="shared" ref="AF173:AF201" si="19">IF(B173&lt;100000,"",AE173)</f>
        <v/>
      </c>
      <c r="AG173" s="42" t="str">
        <f t="shared" si="15"/>
        <v/>
      </c>
      <c r="AH173" s="47" t="str">
        <f t="shared" ref="AH173:AH201" si="20">IF(AF173="","",IF(J173="","",IF(I173="LookupField",AK173,"")))</f>
        <v/>
      </c>
      <c r="AI173" s="47" t="str">
        <f t="shared" ref="AI173:AI201" si="21">IF(D173&lt;&gt;"","update tblAnmeldeVSSLanguage set AnmeldeVSSBezeichnung = '" &amp; D173 &amp;"', AnmeldeVSSBezeichnungToDo = 0 " &amp;IF(H173&lt;&gt;"",", AnmeldeVSSTooltip = '"&amp; H173 &amp;"', AnmeldeVSSTooltipToDo = 0 ","") &amp; "where IDAnlass = "&amp; IDAnlass &amp;" and IDAnmeldeVSS = "&amp; B173,"")</f>
        <v/>
      </c>
      <c r="AJ173" s="42" t="str">
        <f>IF(O173="",(IF(P173="Ansicht","INSERT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B173 &amp;" ,NULL ,'',349,"&amp; VLOOKUP(Q173,'AnmeldeVSS-Attribute'!$A$43:$B$50,2,FALSE)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B173 &amp;" ,"&amp; O173 &amp;" ,"&amp; IF(Q173="ja","'1'",IF(Q173="nein","'0'","'"&amp;Q173&amp;"'")) &amp;","&amp;IF(P173="enthält",349,IF(P173="nicht leer",352,IF(P173="enthält nicht",350,IF(P173="leer",351,0)))) &amp;" ,NULL ,GetDate() ,'scrc' ,GetDate() ,'scrc')")</f>
        <v/>
      </c>
      <c r="AK173" s="48" t="str">
        <f t="shared" ref="AK173:AK201" si="22">CONCATENATE("update tblAnmeldeVSS set AnmeldeVSSOTUseLegacyRowSource = 1, AnmeldeVssOTUseLegacyValueCalculation = 1, AnmeldeVSSRowSource='","Select ''",SUBSTITUTE(J173,",","'' where @kontextidlanguage = 1 union select ''"),"'' where @kontextidlanguage = 1 ","union select ''",SUBSTITUTE(K173,",","'' where @kontextidlanguage = 133 union select ''"),"'' where @kontextidlanguage = 133'"," where IDAnmeldeVSS ="&amp;B173&amp;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4" spans="1:37" x14ac:dyDescent="0.25">
      <c r="A174" s="68"/>
      <c r="B174" s="68"/>
      <c r="C174" s="68"/>
      <c r="D174" s="68"/>
      <c r="E174" s="66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5"/>
      <c r="U174" s="65"/>
      <c r="V174" s="42"/>
      <c r="W174" s="42" t="e">
        <f>VLOOKUP($I174,'AnmeldeVSS-Attribute'!$A$2:$H$16,2,FALSE)</f>
        <v>#N/A</v>
      </c>
      <c r="X174" s="42" t="e">
        <f>VLOOKUP($I174,'AnmeldeVSS-Attribute'!$A$2:$H$16,3,FALSE)</f>
        <v>#N/A</v>
      </c>
      <c r="Y174" s="42" t="e">
        <f>VLOOKUP($I174,'AnmeldeVSS-Attribute'!$A$2:$H$16,4,FALSE)</f>
        <v>#N/A</v>
      </c>
      <c r="Z174" s="42" t="e">
        <f>VLOOKUP($I174,'AnmeldeVSS-Attribute'!$A$2:$H$16,5,FALSE)</f>
        <v>#N/A</v>
      </c>
      <c r="AA174" s="42" t="e">
        <f>VLOOKUP($I174,'AnmeldeVSS-Attribute'!$A$2:$H$16,6,FALSE)</f>
        <v>#N/A</v>
      </c>
      <c r="AB174" s="42" t="e">
        <f>VLOOKUP($I174,'AnmeldeVSS-Attribute'!$A$2:$H$16,7,FALSE)</f>
        <v>#N/A</v>
      </c>
      <c r="AC174" s="42" t="e">
        <f>IF(I174="Geldbetrag",J174,(IF(T174="",VLOOKUP($I174,'AnmeldeVSS-Attribute'!$A$2:$H$16,8,FALSE),T174)))</f>
        <v>#N/A</v>
      </c>
      <c r="AD174" s="42">
        <f>IF(S174="",0,VLOOKUP(S174,'AnmeldeVSS-Attribute'!$A$20:$B$26,2,FALSE))</f>
        <v>0</v>
      </c>
      <c r="AE174" s="42" t="e">
        <f t="shared" si="13"/>
        <v>#N/A</v>
      </c>
      <c r="AF174" s="42" t="str">
        <f t="shared" si="19"/>
        <v/>
      </c>
      <c r="AG174" s="42" t="str">
        <f t="shared" si="15"/>
        <v/>
      </c>
      <c r="AH174" s="47" t="str">
        <f t="shared" si="20"/>
        <v/>
      </c>
      <c r="AI174" s="47" t="str">
        <f t="shared" si="21"/>
        <v/>
      </c>
      <c r="AJ174" s="42" t="str">
        <f>IF(O174="",(IF(P174="Ansicht","INSERT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B174 &amp;" ,NULL ,'',349,"&amp; VLOOKUP(Q174,'AnmeldeVSS-Attribute'!$A$43:$B$50,2,FALSE)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B174 &amp;" ,"&amp; O174 &amp;" ,"&amp; IF(Q174="ja","'1'",IF(Q174="nein","'0'","'"&amp;Q174&amp;"'")) &amp;","&amp;IF(P174="enthält",349,IF(P174="nicht leer",352,IF(P174="enthält nicht",350,IF(P174="leer",351,0)))) &amp;" ,NULL ,GetDate() ,'scrc' ,GetDate() ,'scrc')")</f>
        <v/>
      </c>
      <c r="AK174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5" spans="1:37" x14ac:dyDescent="0.25">
      <c r="A175" s="68"/>
      <c r="B175" s="68"/>
      <c r="C175" s="68"/>
      <c r="D175" s="68"/>
      <c r="E175" s="66"/>
      <c r="F175" s="68"/>
      <c r="G175" s="68"/>
      <c r="H175" s="68"/>
      <c r="I175" s="68"/>
      <c r="J175" s="68"/>
      <c r="K175" s="68"/>
      <c r="L175" s="68"/>
      <c r="M175" s="68"/>
      <c r="N175" s="66"/>
      <c r="O175" s="68"/>
      <c r="P175" s="68"/>
      <c r="Q175" s="68"/>
      <c r="R175" s="68"/>
      <c r="S175" s="68"/>
      <c r="T175" s="65"/>
      <c r="U175" s="65"/>
      <c r="V175" s="42"/>
      <c r="W175" s="42" t="e">
        <f>VLOOKUP($I175,'AnmeldeVSS-Attribute'!$A$2:$H$16,2,FALSE)</f>
        <v>#N/A</v>
      </c>
      <c r="X175" s="42" t="e">
        <f>VLOOKUP($I175,'AnmeldeVSS-Attribute'!$A$2:$H$16,3,FALSE)</f>
        <v>#N/A</v>
      </c>
      <c r="Y175" s="42" t="e">
        <f>VLOOKUP($I175,'AnmeldeVSS-Attribute'!$A$2:$H$16,4,FALSE)</f>
        <v>#N/A</v>
      </c>
      <c r="Z175" s="42" t="e">
        <f>VLOOKUP($I175,'AnmeldeVSS-Attribute'!$A$2:$H$16,5,FALSE)</f>
        <v>#N/A</v>
      </c>
      <c r="AA175" s="42" t="e">
        <f>VLOOKUP($I175,'AnmeldeVSS-Attribute'!$A$2:$H$16,6,FALSE)</f>
        <v>#N/A</v>
      </c>
      <c r="AB175" s="42" t="e">
        <f>VLOOKUP($I175,'AnmeldeVSS-Attribute'!$A$2:$H$16,7,FALSE)</f>
        <v>#N/A</v>
      </c>
      <c r="AC175" s="42" t="e">
        <f>IF(I175="Geldbetrag",J175,(IF(T175="",VLOOKUP($I175,'AnmeldeVSS-Attribute'!$A$2:$H$16,8,FALSE),T175)))</f>
        <v>#N/A</v>
      </c>
      <c r="AD175" s="42">
        <f>IF(S175="",0,VLOOKUP(S175,'AnmeldeVSS-Attribute'!$A$20:$B$26,2,FALSE))</f>
        <v>0</v>
      </c>
      <c r="AE175" s="42" t="e">
        <f t="shared" si="13"/>
        <v>#N/A</v>
      </c>
      <c r="AF175" s="42" t="str">
        <f t="shared" si="19"/>
        <v/>
      </c>
      <c r="AG175" s="42" t="str">
        <f t="shared" si="15"/>
        <v/>
      </c>
      <c r="AH175" s="47" t="str">
        <f t="shared" si="20"/>
        <v/>
      </c>
      <c r="AI175" s="47" t="str">
        <f t="shared" si="21"/>
        <v/>
      </c>
      <c r="AJ175" s="42" t="str">
        <f>IF(O175="",(IF(P175="Ansicht","INSERT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B175 &amp;" ,NULL ,'',349,"&amp; VLOOKUP(Q175,'AnmeldeVSS-Attribute'!$A$43:$B$50,2,FALSE)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B175 &amp;" ,"&amp; O175 &amp;" ,"&amp; IF(Q175="ja","'1'",IF(Q175="nein","'0'","'"&amp;Q175&amp;"'")) &amp;","&amp;IF(P175="enthält",349,IF(P175="nicht leer",352,IF(P175="enthält nicht",350,IF(P175="leer",351,0)))) &amp;" ,NULL ,GetDate() ,'scrc' ,GetDate() ,'scrc')")</f>
        <v/>
      </c>
      <c r="AK175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6" spans="1:37" s="35" customFormat="1" x14ac:dyDescent="0.25">
      <c r="A176" s="66"/>
      <c r="B176" s="63"/>
      <c r="C176" s="64"/>
      <c r="D176" s="64"/>
      <c r="E176" s="63"/>
      <c r="F176" s="64"/>
      <c r="G176" s="64"/>
      <c r="H176" s="64"/>
      <c r="I176" s="64"/>
      <c r="J176" s="64"/>
      <c r="K176" s="64"/>
      <c r="L176" s="64"/>
      <c r="M176" s="63"/>
      <c r="N176" s="63"/>
      <c r="O176" s="63"/>
      <c r="P176" s="63"/>
      <c r="Q176" s="64"/>
      <c r="R176" s="63"/>
      <c r="S176" s="63"/>
      <c r="T176" s="69"/>
      <c r="U176" s="69"/>
      <c r="W176" s="42" t="e">
        <f>VLOOKUP($I176,'AnmeldeVSS-Attribute'!$A$2:$H$16,2,FALSE)</f>
        <v>#N/A</v>
      </c>
      <c r="X176" s="42" t="e">
        <f>VLOOKUP($I176,'AnmeldeVSS-Attribute'!$A$2:$H$16,3,FALSE)</f>
        <v>#N/A</v>
      </c>
      <c r="Y176" s="42" t="e">
        <f>VLOOKUP($I176,'AnmeldeVSS-Attribute'!$A$2:$H$16,4,FALSE)</f>
        <v>#N/A</v>
      </c>
      <c r="Z176" s="42" t="e">
        <f>VLOOKUP($I176,'AnmeldeVSS-Attribute'!$A$2:$H$16,5,FALSE)</f>
        <v>#N/A</v>
      </c>
      <c r="AA176" s="42" t="e">
        <f>VLOOKUP($I176,'AnmeldeVSS-Attribute'!$A$2:$H$16,6,FALSE)</f>
        <v>#N/A</v>
      </c>
      <c r="AB176" s="42" t="e">
        <f>VLOOKUP($I176,'AnmeldeVSS-Attribute'!$A$2:$H$16,7,FALSE)</f>
        <v>#N/A</v>
      </c>
      <c r="AC176" s="42" t="e">
        <f>IF(I176="Geldbetrag",J176,(IF(T176="",VLOOKUP($I176,'AnmeldeVSS-Attribute'!$A$2:$H$16,8,FALSE),T176)))</f>
        <v>#N/A</v>
      </c>
      <c r="AD176" s="42">
        <f>IF(S176="",0,VLOOKUP(S176,'AnmeldeVSS-Attribute'!$A$20:$B$26,2,FALSE))</f>
        <v>0</v>
      </c>
      <c r="AE176" s="42" t="e">
        <f t="shared" si="13"/>
        <v>#N/A</v>
      </c>
      <c r="AF176" s="42" t="str">
        <f t="shared" si="19"/>
        <v/>
      </c>
      <c r="AG176" s="42" t="str">
        <f t="shared" si="15"/>
        <v/>
      </c>
      <c r="AH176" s="47" t="str">
        <f t="shared" si="20"/>
        <v/>
      </c>
      <c r="AI176" s="47" t="str">
        <f t="shared" si="21"/>
        <v/>
      </c>
      <c r="AJ176" s="42" t="str">
        <f>IF(O176="",(IF(P176="Ansicht","INSERT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B176 &amp;" ,NULL ,'',349,"&amp; VLOOKUP(Q176,'AnmeldeVSS-Attribute'!$A$43:$B$50,2,FALSE)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B176 &amp;" ,"&amp; O176 &amp;" ,"&amp; IF(Q176="ja","'1'",IF(Q176="nein","'0'","'"&amp;Q176&amp;"'")) &amp;","&amp;IF(P176="enthält",349,IF(P176="nicht leer",352,IF(P176="enthält nicht",350,IF(P176="leer",351,0)))) &amp;" ,NULL ,GetDate() ,'scrc' ,GetDate() ,'scrc')")</f>
        <v/>
      </c>
      <c r="AK176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7" spans="1:37" x14ac:dyDescent="0.25">
      <c r="A177" s="66"/>
      <c r="B177" s="66"/>
      <c r="C177" s="68"/>
      <c r="D177" s="68"/>
      <c r="E177" s="66"/>
      <c r="F177" s="68"/>
      <c r="G177" s="57"/>
      <c r="H177" s="51"/>
      <c r="I177" s="68"/>
      <c r="J177" s="68"/>
      <c r="K177" s="68"/>
      <c r="L177" s="68"/>
      <c r="M177" s="66"/>
      <c r="N177" s="66"/>
      <c r="O177" s="66"/>
      <c r="P177" s="66"/>
      <c r="Q177" s="68"/>
      <c r="R177" s="66"/>
      <c r="S177" s="66"/>
      <c r="T177" s="65"/>
      <c r="U177" s="65"/>
      <c r="V177" s="42"/>
      <c r="W177" s="42" t="e">
        <f>VLOOKUP($I177,'AnmeldeVSS-Attribute'!$A$2:$H$16,2,FALSE)</f>
        <v>#N/A</v>
      </c>
      <c r="X177" s="42" t="e">
        <f>VLOOKUP($I177,'AnmeldeVSS-Attribute'!$A$2:$H$16,3,FALSE)</f>
        <v>#N/A</v>
      </c>
      <c r="Y177" s="42" t="e">
        <f>VLOOKUP($I177,'AnmeldeVSS-Attribute'!$A$2:$H$16,4,FALSE)</f>
        <v>#N/A</v>
      </c>
      <c r="Z177" s="42" t="e">
        <f>VLOOKUP($I177,'AnmeldeVSS-Attribute'!$A$2:$H$16,5,FALSE)</f>
        <v>#N/A</v>
      </c>
      <c r="AA177" s="42" t="e">
        <f>VLOOKUP($I177,'AnmeldeVSS-Attribute'!$A$2:$H$16,6,FALSE)</f>
        <v>#N/A</v>
      </c>
      <c r="AB177" s="42" t="e">
        <f>VLOOKUP($I177,'AnmeldeVSS-Attribute'!$A$2:$H$16,7,FALSE)</f>
        <v>#N/A</v>
      </c>
      <c r="AC177" s="42" t="e">
        <f>IF(I177="Geldbetrag",J177,(IF(T177="",VLOOKUP($I177,'AnmeldeVSS-Attribute'!$A$2:$H$16,8,FALSE),T177)))</f>
        <v>#N/A</v>
      </c>
      <c r="AD177" s="42">
        <f>IF(S177="",0,VLOOKUP(S177,'AnmeldeVSS-Attribute'!$A$20:$B$26,2,FALSE))</f>
        <v>0</v>
      </c>
      <c r="AE177" s="42" t="e">
        <f t="shared" si="13"/>
        <v>#N/A</v>
      </c>
      <c r="AF177" s="42" t="str">
        <f t="shared" si="19"/>
        <v/>
      </c>
      <c r="AG177" s="42" t="str">
        <f t="shared" si="15"/>
        <v/>
      </c>
      <c r="AH177" s="47" t="str">
        <f t="shared" si="20"/>
        <v/>
      </c>
      <c r="AI177" s="47" t="str">
        <f t="shared" si="21"/>
        <v/>
      </c>
      <c r="AJ177" s="42" t="str">
        <f>IF(O177="",(IF(P177="Ansicht","INSERT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B177 &amp;" ,NULL ,'',349,"&amp; VLOOKUP(Q177,'AnmeldeVSS-Attribute'!$A$43:$B$50,2,FALSE)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B177 &amp;" ,"&amp; O177 &amp;" ,"&amp; IF(Q177="ja","'1'",IF(Q177="nein","'0'","'"&amp;Q177&amp;"'")) &amp;","&amp;IF(P177="enthält",349,IF(P177="nicht leer",352,IF(P177="enthält nicht",350,IF(P177="leer",351,0)))) &amp;" ,NULL ,GetDate() ,'scrc' ,GetDate() ,'scrc')")</f>
        <v/>
      </c>
      <c r="AK177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8" spans="1:37" ht="16.5" x14ac:dyDescent="0.25">
      <c r="A178" s="66"/>
      <c r="B178" s="66"/>
      <c r="C178" s="68"/>
      <c r="D178" s="68"/>
      <c r="E178" s="66"/>
      <c r="F178" s="68"/>
      <c r="G178" s="54"/>
      <c r="H178" s="54"/>
      <c r="I178" s="68"/>
      <c r="J178" s="68"/>
      <c r="K178" s="68"/>
      <c r="L178" s="68"/>
      <c r="M178" s="66"/>
      <c r="N178" s="66"/>
      <c r="O178" s="50"/>
      <c r="P178" s="66"/>
      <c r="Q178" s="68"/>
      <c r="R178" s="66"/>
      <c r="S178" s="66"/>
      <c r="T178" s="65"/>
      <c r="U178" s="65"/>
      <c r="V178" s="42"/>
      <c r="W178" s="42" t="e">
        <f>VLOOKUP($I178,'AnmeldeVSS-Attribute'!$A$2:$H$16,2,FALSE)</f>
        <v>#N/A</v>
      </c>
      <c r="X178" s="42" t="e">
        <f>VLOOKUP($I178,'AnmeldeVSS-Attribute'!$A$2:$H$16,3,FALSE)</f>
        <v>#N/A</v>
      </c>
      <c r="Y178" s="42" t="e">
        <f>VLOOKUP($I178,'AnmeldeVSS-Attribute'!$A$2:$H$16,4,FALSE)</f>
        <v>#N/A</v>
      </c>
      <c r="Z178" s="42" t="e">
        <f>VLOOKUP($I178,'AnmeldeVSS-Attribute'!$A$2:$H$16,5,FALSE)</f>
        <v>#N/A</v>
      </c>
      <c r="AA178" s="42" t="e">
        <f>VLOOKUP($I178,'AnmeldeVSS-Attribute'!$A$2:$H$16,6,FALSE)</f>
        <v>#N/A</v>
      </c>
      <c r="AB178" s="42" t="e">
        <f>VLOOKUP($I178,'AnmeldeVSS-Attribute'!$A$2:$H$16,7,FALSE)</f>
        <v>#N/A</v>
      </c>
      <c r="AC178" s="42" t="e">
        <f>IF(I178="Geldbetrag",J178,(IF(T178="",VLOOKUP($I178,'AnmeldeVSS-Attribute'!$A$2:$H$16,8,FALSE),T178)))</f>
        <v>#N/A</v>
      </c>
      <c r="AD178" s="42">
        <f>IF(S178="",0,VLOOKUP(S178,'AnmeldeVSS-Attribute'!$A$20:$B$26,2,FALSE))</f>
        <v>0</v>
      </c>
      <c r="AE178" s="42" t="e">
        <f t="shared" si="13"/>
        <v>#N/A</v>
      </c>
      <c r="AF178" s="42" t="str">
        <f t="shared" si="19"/>
        <v/>
      </c>
      <c r="AG178" s="42" t="str">
        <f t="shared" si="15"/>
        <v/>
      </c>
      <c r="AH178" s="47" t="str">
        <f t="shared" si="20"/>
        <v/>
      </c>
      <c r="AI178" s="47" t="str">
        <f t="shared" si="21"/>
        <v/>
      </c>
      <c r="AJ178" s="42" t="str">
        <f>IF(O178="",(IF(P178="Ansicht","INSERT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B178 &amp;" ,NULL ,'',349,"&amp; VLOOKUP(Q178,'AnmeldeVSS-Attribute'!$A$43:$B$50,2,FALSE)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B178 &amp;" ,"&amp; O178 &amp;" ,"&amp; IF(Q178="ja","'1'",IF(Q178="nein","'0'","'"&amp;Q178&amp;"'")) &amp;","&amp;IF(P178="enthält",349,IF(P178="nicht leer",352,IF(P178="enthält nicht",350,IF(P178="leer",351,0)))) &amp;" ,NULL ,GetDate() ,'scrc' ,GetDate() ,'scrc')")</f>
        <v/>
      </c>
      <c r="AK178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79" spans="1:37" ht="16.5" x14ac:dyDescent="0.25">
      <c r="A179" s="66"/>
      <c r="B179" s="66"/>
      <c r="C179" s="68"/>
      <c r="D179" s="68"/>
      <c r="E179" s="66"/>
      <c r="F179" s="68"/>
      <c r="G179" s="54"/>
      <c r="H179" s="54"/>
      <c r="I179" s="68"/>
      <c r="J179" s="68"/>
      <c r="K179" s="68"/>
      <c r="L179" s="68"/>
      <c r="M179" s="66"/>
      <c r="N179" s="66"/>
      <c r="O179" s="50"/>
      <c r="P179" s="66"/>
      <c r="Q179" s="68"/>
      <c r="R179" s="66"/>
      <c r="S179" s="66"/>
      <c r="T179" s="65"/>
      <c r="U179" s="65"/>
      <c r="V179" s="42"/>
      <c r="W179" s="42" t="e">
        <f>VLOOKUP($I179,'AnmeldeVSS-Attribute'!$A$2:$H$16,2,FALSE)</f>
        <v>#N/A</v>
      </c>
      <c r="X179" s="42" t="e">
        <f>VLOOKUP($I179,'AnmeldeVSS-Attribute'!$A$2:$H$16,3,FALSE)</f>
        <v>#N/A</v>
      </c>
      <c r="Y179" s="42" t="e">
        <f>VLOOKUP($I179,'AnmeldeVSS-Attribute'!$A$2:$H$16,4,FALSE)</f>
        <v>#N/A</v>
      </c>
      <c r="Z179" s="42" t="e">
        <f>VLOOKUP($I179,'AnmeldeVSS-Attribute'!$A$2:$H$16,5,FALSE)</f>
        <v>#N/A</v>
      </c>
      <c r="AA179" s="42" t="e">
        <f>VLOOKUP($I179,'AnmeldeVSS-Attribute'!$A$2:$H$16,6,FALSE)</f>
        <v>#N/A</v>
      </c>
      <c r="AB179" s="42" t="e">
        <f>VLOOKUP($I179,'AnmeldeVSS-Attribute'!$A$2:$H$16,7,FALSE)</f>
        <v>#N/A</v>
      </c>
      <c r="AC179" s="42" t="e">
        <f>IF(I179="Geldbetrag",J179,(IF(T179="",VLOOKUP($I179,'AnmeldeVSS-Attribute'!$A$2:$H$16,8,FALSE),T179)))</f>
        <v>#N/A</v>
      </c>
      <c r="AD179" s="42">
        <f>IF(S179="",0,VLOOKUP(S179,'AnmeldeVSS-Attribute'!$A$20:$B$26,2,FALSE))</f>
        <v>0</v>
      </c>
      <c r="AE179" s="42" t="e">
        <f t="shared" si="13"/>
        <v>#N/A</v>
      </c>
      <c r="AF179" s="42" t="str">
        <f t="shared" si="19"/>
        <v/>
      </c>
      <c r="AG179" s="42" t="str">
        <f t="shared" si="15"/>
        <v/>
      </c>
      <c r="AH179" s="47" t="str">
        <f t="shared" si="20"/>
        <v/>
      </c>
      <c r="AI179" s="47" t="str">
        <f t="shared" si="21"/>
        <v/>
      </c>
      <c r="AJ179" s="42" t="str">
        <f>IF(O179="",(IF(P179="Ansicht","INSERT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B179 &amp;" ,NULL ,'',349,"&amp; VLOOKUP(Q179,'AnmeldeVSS-Attribute'!$A$43:$B$50,2,FALSE)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B179 &amp;" ,"&amp; O179 &amp;" ,"&amp; IF(Q179="ja","'1'",IF(Q179="nein","'0'","'"&amp;Q179&amp;"'")) &amp;","&amp;IF(P179="enthält",349,IF(P179="nicht leer",352,IF(P179="enthält nicht",350,IF(P179="leer",351,0)))) &amp;" ,NULL ,GetDate() ,'scrc' ,GetDate() ,'scrc')")</f>
        <v/>
      </c>
      <c r="AK179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0" spans="1:37" ht="16.5" x14ac:dyDescent="0.25">
      <c r="A180" s="66"/>
      <c r="B180" s="66"/>
      <c r="C180" s="68"/>
      <c r="D180" s="68"/>
      <c r="E180" s="66"/>
      <c r="F180" s="68"/>
      <c r="G180" s="54"/>
      <c r="H180" s="54"/>
      <c r="I180" s="68"/>
      <c r="J180" s="68"/>
      <c r="K180" s="68"/>
      <c r="L180" s="68"/>
      <c r="M180" s="66"/>
      <c r="N180" s="66"/>
      <c r="O180" s="50"/>
      <c r="P180" s="66"/>
      <c r="Q180" s="68"/>
      <c r="R180" s="66"/>
      <c r="S180" s="66"/>
      <c r="T180" s="69"/>
      <c r="U180" s="69"/>
      <c r="W180" s="42" t="e">
        <f>VLOOKUP($I180,'AnmeldeVSS-Attribute'!$A$2:$H$16,2,FALSE)</f>
        <v>#N/A</v>
      </c>
      <c r="X180" s="42" t="e">
        <f>VLOOKUP($I180,'AnmeldeVSS-Attribute'!$A$2:$H$16,3,FALSE)</f>
        <v>#N/A</v>
      </c>
      <c r="Y180" s="42" t="e">
        <f>VLOOKUP($I180,'AnmeldeVSS-Attribute'!$A$2:$H$16,4,FALSE)</f>
        <v>#N/A</v>
      </c>
      <c r="Z180" s="42" t="e">
        <f>VLOOKUP($I180,'AnmeldeVSS-Attribute'!$A$2:$H$16,5,FALSE)</f>
        <v>#N/A</v>
      </c>
      <c r="AA180" s="42" t="e">
        <f>VLOOKUP($I180,'AnmeldeVSS-Attribute'!$A$2:$H$16,6,FALSE)</f>
        <v>#N/A</v>
      </c>
      <c r="AB180" s="42" t="e">
        <f>VLOOKUP($I180,'AnmeldeVSS-Attribute'!$A$2:$H$16,7,FALSE)</f>
        <v>#N/A</v>
      </c>
      <c r="AC180" s="42" t="e">
        <f>IF(I180="Geldbetrag",J180,(IF(T180="",VLOOKUP($I180,'AnmeldeVSS-Attribute'!$A$2:$H$16,8,FALSE),T180)))</f>
        <v>#N/A</v>
      </c>
      <c r="AD180" s="42">
        <f>IF(S180="",0,VLOOKUP(S180,'AnmeldeVSS-Attribute'!$A$20:$B$26,2,FALSE))</f>
        <v>0</v>
      </c>
      <c r="AE180" s="42" t="e">
        <f t="shared" si="13"/>
        <v>#N/A</v>
      </c>
      <c r="AF180" s="42" t="str">
        <f t="shared" si="19"/>
        <v/>
      </c>
      <c r="AG180" s="42" t="str">
        <f t="shared" si="15"/>
        <v/>
      </c>
      <c r="AH180" s="47" t="str">
        <f t="shared" si="20"/>
        <v/>
      </c>
      <c r="AI180" s="47" t="str">
        <f t="shared" si="21"/>
        <v/>
      </c>
      <c r="AJ180" s="42" t="str">
        <f>IF(O180="",(IF(P180="Ansicht","INSERT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B180 &amp;" ,NULL ,'',349,"&amp; VLOOKUP(Q180,'AnmeldeVSS-Attribute'!$A$43:$B$50,2,FALSE)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B180 &amp;" ,"&amp; O180 &amp;" ,"&amp; IF(Q180="ja","'1'",IF(Q180="nein","'0'","'"&amp;Q180&amp;"'")) &amp;","&amp;IF(P180="enthält",349,IF(P180="nicht leer",352,IF(P180="enthält nicht",350,IF(P180="leer",351,0)))) &amp;" ,NULL ,GetDate() ,'scrc' ,GetDate() ,'scrc')")</f>
        <v/>
      </c>
      <c r="AK180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1" spans="1:37" x14ac:dyDescent="0.25">
      <c r="A181" s="66"/>
      <c r="B181" s="63"/>
      <c r="C181" s="64"/>
      <c r="D181" s="64"/>
      <c r="E181" s="63"/>
      <c r="F181" s="64"/>
      <c r="G181" s="60"/>
      <c r="H181" s="60"/>
      <c r="I181" s="64"/>
      <c r="J181" s="64"/>
      <c r="K181" s="64"/>
      <c r="L181" s="64"/>
      <c r="M181" s="63"/>
      <c r="N181" s="63"/>
      <c r="O181" s="63"/>
      <c r="P181" s="63"/>
      <c r="Q181" s="64"/>
      <c r="R181" s="63"/>
      <c r="S181" s="63"/>
      <c r="T181" s="61"/>
      <c r="U181" s="61"/>
      <c r="W181" s="42" t="e">
        <f>VLOOKUP($I181,'AnmeldeVSS-Attribute'!$A$2:$H$16,2,FALSE)</f>
        <v>#N/A</v>
      </c>
      <c r="X181" s="42" t="e">
        <f>VLOOKUP($I181,'AnmeldeVSS-Attribute'!$A$2:$H$16,3,FALSE)</f>
        <v>#N/A</v>
      </c>
      <c r="Y181" s="42" t="e">
        <f>VLOOKUP($I181,'AnmeldeVSS-Attribute'!$A$2:$H$16,4,FALSE)</f>
        <v>#N/A</v>
      </c>
      <c r="Z181" s="42" t="e">
        <f>VLOOKUP($I181,'AnmeldeVSS-Attribute'!$A$2:$H$16,5,FALSE)</f>
        <v>#N/A</v>
      </c>
      <c r="AA181" s="42" t="e">
        <f>VLOOKUP($I181,'AnmeldeVSS-Attribute'!$A$2:$H$16,6,FALSE)</f>
        <v>#N/A</v>
      </c>
      <c r="AB181" s="42" t="e">
        <f>VLOOKUP($I181,'AnmeldeVSS-Attribute'!$A$2:$H$16,7,FALSE)</f>
        <v>#N/A</v>
      </c>
      <c r="AC181" s="42" t="e">
        <f>IF(I181="Geldbetrag",J181,(IF(T181="",VLOOKUP($I181,'AnmeldeVSS-Attribute'!$A$2:$H$16,8,FALSE),T181)))</f>
        <v>#N/A</v>
      </c>
      <c r="AD181" s="42">
        <f>IF(S181="",0,VLOOKUP(S181,'AnmeldeVSS-Attribute'!$A$20:$B$26,2,FALSE))</f>
        <v>0</v>
      </c>
      <c r="AE181" s="42" t="e">
        <f t="shared" si="13"/>
        <v>#N/A</v>
      </c>
      <c r="AF181" s="42" t="str">
        <f t="shared" si="19"/>
        <v/>
      </c>
      <c r="AG181" s="42" t="str">
        <f t="shared" si="15"/>
        <v/>
      </c>
      <c r="AH181" s="47" t="str">
        <f t="shared" si="20"/>
        <v/>
      </c>
      <c r="AI181" s="47" t="str">
        <f t="shared" si="21"/>
        <v/>
      </c>
      <c r="AJ181" s="42" t="str">
        <f>IF(O181="",(IF(P181="Ansicht","INSERT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B181 &amp;" ,NULL ,'',349,"&amp; VLOOKUP(Q181,'AnmeldeVSS-Attribute'!$A$43:$B$50,2,FALSE)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B181 &amp;" ,"&amp; O181 &amp;" ,"&amp; IF(Q181="ja","'1'",IF(Q181="nein","'0'","'"&amp;Q181&amp;"'")) &amp;","&amp;IF(P181="enthält",349,IF(P181="nicht leer",352,IF(P181="enthält nicht",350,IF(P181="leer",351,0)))) &amp;" ,NULL ,GetDate() ,'scrc' ,GetDate() ,'scrc')")</f>
        <v/>
      </c>
      <c r="AK181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2" spans="1:37" x14ac:dyDescent="0.25">
      <c r="A182" s="66"/>
      <c r="B182" s="66"/>
      <c r="C182" s="64"/>
      <c r="D182" s="64"/>
      <c r="E182" s="63"/>
      <c r="F182" s="64"/>
      <c r="G182" s="60"/>
      <c r="H182" s="60"/>
      <c r="I182" s="64"/>
      <c r="J182" s="64"/>
      <c r="K182" s="64"/>
      <c r="L182" s="64"/>
      <c r="M182" s="63"/>
      <c r="N182" s="63"/>
      <c r="O182" s="63"/>
      <c r="P182" s="63"/>
      <c r="Q182" s="64"/>
      <c r="R182" s="63"/>
      <c r="S182" s="63"/>
      <c r="T182" s="61"/>
      <c r="U182" s="61"/>
      <c r="W182" s="42" t="e">
        <f>VLOOKUP($I182,'AnmeldeVSS-Attribute'!$A$2:$H$16,2,FALSE)</f>
        <v>#N/A</v>
      </c>
      <c r="X182" s="42" t="e">
        <f>VLOOKUP($I182,'AnmeldeVSS-Attribute'!$A$2:$H$16,3,FALSE)</f>
        <v>#N/A</v>
      </c>
      <c r="Y182" s="42" t="e">
        <f>VLOOKUP($I182,'AnmeldeVSS-Attribute'!$A$2:$H$16,4,FALSE)</f>
        <v>#N/A</v>
      </c>
      <c r="Z182" s="42" t="e">
        <f>VLOOKUP($I182,'AnmeldeVSS-Attribute'!$A$2:$H$16,5,FALSE)</f>
        <v>#N/A</v>
      </c>
      <c r="AA182" s="42" t="e">
        <f>VLOOKUP($I182,'AnmeldeVSS-Attribute'!$A$2:$H$16,6,FALSE)</f>
        <v>#N/A</v>
      </c>
      <c r="AB182" s="42" t="e">
        <f>VLOOKUP($I182,'AnmeldeVSS-Attribute'!$A$2:$H$16,7,FALSE)</f>
        <v>#N/A</v>
      </c>
      <c r="AC182" s="42" t="e">
        <f>IF(I182="Geldbetrag",J182,(IF(T182="",VLOOKUP($I182,'AnmeldeVSS-Attribute'!$A$2:$H$16,8,FALSE),T182)))</f>
        <v>#N/A</v>
      </c>
      <c r="AD182" s="42">
        <f>IF(S182="",0,VLOOKUP(S182,'AnmeldeVSS-Attribute'!$A$20:$B$26,2,FALSE))</f>
        <v>0</v>
      </c>
      <c r="AE182" s="42" t="e">
        <f t="shared" si="13"/>
        <v>#N/A</v>
      </c>
      <c r="AF182" s="42" t="str">
        <f t="shared" si="19"/>
        <v/>
      </c>
      <c r="AG182" s="42" t="str">
        <f t="shared" si="15"/>
        <v/>
      </c>
      <c r="AH182" s="47" t="str">
        <f t="shared" si="20"/>
        <v/>
      </c>
      <c r="AI182" s="47" t="str">
        <f t="shared" si="21"/>
        <v/>
      </c>
      <c r="AJ182" s="42" t="str">
        <f>IF(O182="",(IF(P182="Ansicht","INSERT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B182 &amp;" ,NULL ,'',349,"&amp; VLOOKUP(Q182,'AnmeldeVSS-Attribute'!$A$43:$B$50,2,FALSE)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B182 &amp;" ,"&amp; O182 &amp;" ,"&amp; IF(Q182="ja","'1'",IF(Q182="nein","'0'","'"&amp;Q182&amp;"'")) &amp;","&amp;IF(P182="enthält",349,IF(P182="nicht leer",352,IF(P182="enthält nicht",350,IF(P182="leer",351,0)))) &amp;" ,NULL ,GetDate() ,'scrc' ,GetDate() ,'scrc')")</f>
        <v/>
      </c>
      <c r="AK182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3" spans="1:37" ht="171.6" customHeight="1" x14ac:dyDescent="0.25">
      <c r="A183" s="66"/>
      <c r="B183" s="66"/>
      <c r="C183" s="64"/>
      <c r="D183" s="64"/>
      <c r="E183" s="63"/>
      <c r="F183" s="56"/>
      <c r="G183" s="77"/>
      <c r="H183" s="77"/>
      <c r="I183" s="64"/>
      <c r="J183" s="64"/>
      <c r="K183" s="64"/>
      <c r="L183" s="64"/>
      <c r="M183" s="63"/>
      <c r="N183" s="63"/>
      <c r="O183" s="63"/>
      <c r="P183" s="63"/>
      <c r="Q183" s="64"/>
      <c r="R183" s="63"/>
      <c r="S183" s="63"/>
      <c r="T183" s="65"/>
      <c r="U183" s="65"/>
      <c r="W183" s="42" t="e">
        <f>VLOOKUP($I183,'AnmeldeVSS-Attribute'!$A$2:$H$16,2,FALSE)</f>
        <v>#N/A</v>
      </c>
      <c r="X183" s="42" t="e">
        <f>VLOOKUP($I183,'AnmeldeVSS-Attribute'!$A$2:$H$16,3,FALSE)</f>
        <v>#N/A</v>
      </c>
      <c r="Y183" s="42" t="e">
        <f>VLOOKUP($I183,'AnmeldeVSS-Attribute'!$A$2:$H$16,4,FALSE)</f>
        <v>#N/A</v>
      </c>
      <c r="Z183" s="42" t="e">
        <f>VLOOKUP($I183,'AnmeldeVSS-Attribute'!$A$2:$H$16,5,FALSE)</f>
        <v>#N/A</v>
      </c>
      <c r="AA183" s="42" t="e">
        <f>VLOOKUP($I183,'AnmeldeVSS-Attribute'!$A$2:$H$16,6,FALSE)</f>
        <v>#N/A</v>
      </c>
      <c r="AB183" s="42" t="e">
        <f>VLOOKUP($I183,'AnmeldeVSS-Attribute'!$A$2:$H$16,7,FALSE)</f>
        <v>#N/A</v>
      </c>
      <c r="AC183" s="42" t="e">
        <f>IF(I183="Geldbetrag",J183,(IF(T183="",VLOOKUP($I183,'AnmeldeVSS-Attribute'!$A$2:$H$16,8,FALSE),T183)))</f>
        <v>#N/A</v>
      </c>
      <c r="AD183" s="42">
        <f>IF(S183="",0,VLOOKUP(S183,'AnmeldeVSS-Attribute'!$A$20:$B$26,2,FALSE))</f>
        <v>0</v>
      </c>
      <c r="AE183" s="42" t="e">
        <f t="shared" si="13"/>
        <v>#N/A</v>
      </c>
      <c r="AF183" s="42" t="str">
        <f t="shared" si="19"/>
        <v/>
      </c>
      <c r="AG183" s="42" t="str">
        <f t="shared" si="15"/>
        <v/>
      </c>
      <c r="AH183" s="47" t="str">
        <f t="shared" si="20"/>
        <v/>
      </c>
      <c r="AI183" s="47" t="str">
        <f t="shared" si="21"/>
        <v/>
      </c>
      <c r="AJ183" s="42" t="str">
        <f>IF(O183="",(IF(P183="Ansicht","INSERT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B183 &amp;" ,NULL ,'',349,"&amp; VLOOKUP(Q183,'AnmeldeVSS-Attribute'!$A$43:$B$50,2,FALSE)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B183 &amp;" ,"&amp; O183 &amp;" ,"&amp; IF(Q183="ja","'1'",IF(Q183="nein","'0'","'"&amp;Q183&amp;"'")) &amp;","&amp;IF(P183="enthält",349,IF(P183="nicht leer",352,IF(P183="enthält nicht",350,IF(P183="leer",351,0)))) &amp;" ,NULL ,GetDate() ,'scrc' ,GetDate() ,'scrc')")</f>
        <v/>
      </c>
      <c r="AK183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4" spans="1:37" x14ac:dyDescent="0.25">
      <c r="A184" s="66"/>
      <c r="B184" s="66"/>
      <c r="C184" s="64"/>
      <c r="D184" s="64"/>
      <c r="E184" s="63"/>
      <c r="F184" s="64"/>
      <c r="G184" s="64"/>
      <c r="H184" s="64"/>
      <c r="I184" s="64"/>
      <c r="J184" s="64"/>
      <c r="K184" s="64"/>
      <c r="L184" s="64"/>
      <c r="M184" s="63"/>
      <c r="N184" s="63"/>
      <c r="O184" s="63"/>
      <c r="P184" s="63"/>
      <c r="Q184" s="64"/>
      <c r="R184" s="63"/>
      <c r="S184" s="63"/>
      <c r="T184" s="65"/>
      <c r="U184" s="65"/>
      <c r="W184" s="42" t="e">
        <f>VLOOKUP($I184,'AnmeldeVSS-Attribute'!$A$2:$H$16,2,FALSE)</f>
        <v>#N/A</v>
      </c>
      <c r="X184" s="42" t="e">
        <f>VLOOKUP($I184,'AnmeldeVSS-Attribute'!$A$2:$H$16,3,FALSE)</f>
        <v>#N/A</v>
      </c>
      <c r="Y184" s="42" t="e">
        <f>VLOOKUP($I184,'AnmeldeVSS-Attribute'!$A$2:$H$16,4,FALSE)</f>
        <v>#N/A</v>
      </c>
      <c r="Z184" s="42" t="e">
        <f>VLOOKUP($I184,'AnmeldeVSS-Attribute'!$A$2:$H$16,5,FALSE)</f>
        <v>#N/A</v>
      </c>
      <c r="AA184" s="42" t="e">
        <f>VLOOKUP($I184,'AnmeldeVSS-Attribute'!$A$2:$H$16,6,FALSE)</f>
        <v>#N/A</v>
      </c>
      <c r="AB184" s="42" t="e">
        <f>VLOOKUP($I184,'AnmeldeVSS-Attribute'!$A$2:$H$16,7,FALSE)</f>
        <v>#N/A</v>
      </c>
      <c r="AC184" s="42" t="e">
        <f>IF(I184="Geldbetrag",J184,(IF(T184="",VLOOKUP($I184,'AnmeldeVSS-Attribute'!$A$2:$H$16,8,FALSE),T184)))</f>
        <v>#N/A</v>
      </c>
      <c r="AD184" s="42">
        <f>IF(S184="",0,VLOOKUP(S184,'AnmeldeVSS-Attribute'!$A$20:$B$26,2,FALSE))</f>
        <v>0</v>
      </c>
      <c r="AE184" s="42" t="e">
        <f t="shared" si="13"/>
        <v>#N/A</v>
      </c>
      <c r="AF184" s="42" t="str">
        <f t="shared" si="19"/>
        <v/>
      </c>
      <c r="AG184" s="42" t="str">
        <f t="shared" si="15"/>
        <v/>
      </c>
      <c r="AH184" s="47" t="str">
        <f t="shared" si="20"/>
        <v/>
      </c>
      <c r="AI184" s="47" t="str">
        <f t="shared" si="21"/>
        <v/>
      </c>
      <c r="AJ184" s="42" t="str">
        <f>IF(O184="",(IF(P184="Ansicht","INSERT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B184 &amp;" ,NULL ,'',349,"&amp; VLOOKUP(Q184,'AnmeldeVSS-Attribute'!$A$43:$B$50,2,FALSE)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B184 &amp;" ,"&amp; O184 &amp;" ,"&amp; IF(Q184="ja","'1'",IF(Q184="nein","'0'","'"&amp;Q184&amp;"'")) &amp;","&amp;IF(P184="enthält",349,IF(P184="nicht leer",352,IF(P184="enthält nicht",350,IF(P184="leer",351,0)))) &amp;" ,NULL ,GetDate() ,'scrc' ,GetDate() ,'scrc')")</f>
        <v/>
      </c>
      <c r="AK184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5" spans="1:37" x14ac:dyDescent="0.25">
      <c r="A185" s="36"/>
      <c r="B185" s="36"/>
      <c r="C185" s="64"/>
      <c r="D185" s="64"/>
      <c r="E185" s="63"/>
      <c r="F185" s="64"/>
      <c r="G185" s="64"/>
      <c r="H185" s="64"/>
      <c r="I185" s="64"/>
      <c r="J185" s="64"/>
      <c r="K185" s="64"/>
      <c r="L185" s="64"/>
      <c r="M185" s="63"/>
      <c r="N185" s="63"/>
      <c r="O185" s="63"/>
      <c r="P185" s="63"/>
      <c r="Q185" s="64"/>
      <c r="R185" s="63"/>
      <c r="S185" s="63"/>
      <c r="T185" s="65"/>
      <c r="U185" s="65"/>
      <c r="W185" s="42" t="e">
        <f>VLOOKUP($I185,'AnmeldeVSS-Attribute'!$A$2:$H$16,2,FALSE)</f>
        <v>#N/A</v>
      </c>
      <c r="X185" s="42" t="e">
        <f>VLOOKUP($I185,'AnmeldeVSS-Attribute'!$A$2:$H$16,3,FALSE)</f>
        <v>#N/A</v>
      </c>
      <c r="Y185" s="42" t="e">
        <f>VLOOKUP($I185,'AnmeldeVSS-Attribute'!$A$2:$H$16,4,FALSE)</f>
        <v>#N/A</v>
      </c>
      <c r="Z185" s="42" t="e">
        <f>VLOOKUP($I185,'AnmeldeVSS-Attribute'!$A$2:$H$16,5,FALSE)</f>
        <v>#N/A</v>
      </c>
      <c r="AA185" s="42" t="e">
        <f>VLOOKUP($I185,'AnmeldeVSS-Attribute'!$A$2:$H$16,6,FALSE)</f>
        <v>#N/A</v>
      </c>
      <c r="AB185" s="42" t="e">
        <f>VLOOKUP($I185,'AnmeldeVSS-Attribute'!$A$2:$H$16,7,FALSE)</f>
        <v>#N/A</v>
      </c>
      <c r="AC185" s="42" t="e">
        <f>IF(I185="Geldbetrag",J185,(IF(T185="",VLOOKUP($I185,'AnmeldeVSS-Attribute'!$A$2:$H$16,8,FALSE),T185)))</f>
        <v>#N/A</v>
      </c>
      <c r="AD185" s="42">
        <f>IF(S185="",0,VLOOKUP(S185,'AnmeldeVSS-Attribute'!$A$20:$B$26,2,FALSE))</f>
        <v>0</v>
      </c>
      <c r="AE185" s="42" t="e">
        <f t="shared" si="13"/>
        <v>#N/A</v>
      </c>
      <c r="AF185" s="42" t="str">
        <f t="shared" si="19"/>
        <v/>
      </c>
      <c r="AG185" s="42" t="str">
        <f t="shared" si="15"/>
        <v/>
      </c>
      <c r="AH185" s="47" t="str">
        <f t="shared" si="20"/>
        <v/>
      </c>
      <c r="AI185" s="47" t="str">
        <f t="shared" si="21"/>
        <v/>
      </c>
      <c r="AJ185" s="42" t="str">
        <f>IF(O185="",(IF(P185="Ansicht","INSERT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B185 &amp;" ,NULL ,'',349,"&amp; VLOOKUP(Q185,'AnmeldeVSS-Attribute'!$A$43:$B$50,2,FALSE)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B185 &amp;" ,"&amp; O185 &amp;" ,"&amp; IF(Q185="ja","'1'",IF(Q185="nein","'0'","'"&amp;Q185&amp;"'")) &amp;","&amp;IF(P185="enthält",349,IF(P185="nicht leer",352,IF(P185="enthält nicht",350,IF(P185="leer",351,0)))) &amp;" ,NULL ,GetDate() ,'scrc' ,GetDate() ,'scrc')")</f>
        <v/>
      </c>
      <c r="AK185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6" spans="1:37" x14ac:dyDescent="0.25">
      <c r="A186" s="66"/>
      <c r="B186" s="66"/>
      <c r="C186" s="64"/>
      <c r="D186" s="64"/>
      <c r="E186" s="63"/>
      <c r="F186" s="64"/>
      <c r="G186" s="64"/>
      <c r="H186" s="64"/>
      <c r="I186" s="64"/>
      <c r="J186" s="64"/>
      <c r="K186" s="64"/>
      <c r="L186" s="64"/>
      <c r="M186" s="63"/>
      <c r="N186" s="63"/>
      <c r="O186" s="55"/>
      <c r="P186" s="55"/>
      <c r="Q186" s="56"/>
      <c r="R186" s="63"/>
      <c r="S186" s="63"/>
      <c r="T186" s="67"/>
      <c r="U186" s="65"/>
      <c r="V186" s="6"/>
      <c r="W186" s="42" t="e">
        <f>VLOOKUP($I186,'AnmeldeVSS-Attribute'!$A$2:$H$16,2,FALSE)</f>
        <v>#N/A</v>
      </c>
      <c r="X186" s="42" t="e">
        <f>VLOOKUP($I186,'AnmeldeVSS-Attribute'!$A$2:$H$16,3,FALSE)</f>
        <v>#N/A</v>
      </c>
      <c r="Y186" s="42" t="e">
        <f>VLOOKUP($I186,'AnmeldeVSS-Attribute'!$A$2:$H$16,4,FALSE)</f>
        <v>#N/A</v>
      </c>
      <c r="Z186" s="42" t="e">
        <f>VLOOKUP($I186,'AnmeldeVSS-Attribute'!$A$2:$H$16,5,FALSE)</f>
        <v>#N/A</v>
      </c>
      <c r="AA186" s="42" t="e">
        <f>VLOOKUP($I186,'AnmeldeVSS-Attribute'!$A$2:$H$16,6,FALSE)</f>
        <v>#N/A</v>
      </c>
      <c r="AB186" s="42" t="e">
        <f>VLOOKUP($I186,'AnmeldeVSS-Attribute'!$A$2:$H$16,7,FALSE)</f>
        <v>#N/A</v>
      </c>
      <c r="AC186" s="42" t="e">
        <f>IF(I186="Geldbetrag",J186,(IF(T186="",VLOOKUP($I186,'AnmeldeVSS-Attribute'!$A$2:$H$16,8,FALSE),T186)))</f>
        <v>#N/A</v>
      </c>
      <c r="AD186" s="42">
        <f>IF(S186="",0,VLOOKUP(S186,'AnmeldeVSS-Attribute'!$A$20:$B$26,2,FALSE))</f>
        <v>0</v>
      </c>
      <c r="AE186" s="42" t="e">
        <f t="shared" si="13"/>
        <v>#N/A</v>
      </c>
      <c r="AF186" s="42" t="str">
        <f t="shared" si="19"/>
        <v/>
      </c>
      <c r="AG186" s="42" t="str">
        <f t="shared" si="15"/>
        <v/>
      </c>
      <c r="AH186" s="47" t="str">
        <f t="shared" si="20"/>
        <v/>
      </c>
      <c r="AI186" s="47" t="str">
        <f t="shared" si="21"/>
        <v/>
      </c>
      <c r="AJ186" s="42" t="str">
        <f>IF(O186="",(IF(P186="Ansicht","INSERT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B186 &amp;" ,NULL ,'',349,"&amp; VLOOKUP(Q186,'AnmeldeVSS-Attribute'!$A$43:$B$50,2,FALSE)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B186 &amp;" ,"&amp; O186 &amp;" ,"&amp; IF(Q186="ja","'1'",IF(Q186="nein","'0'","'"&amp;Q186&amp;"'")) &amp;","&amp;IF(P186="enthält",349,IF(P186="nicht leer",352,IF(P186="enthält nicht",350,IF(P186="leer",351,0)))) &amp;" ,NULL ,GetDate() ,'scrc' ,GetDate() ,'scrc')")</f>
        <v/>
      </c>
      <c r="AK186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7" spans="1:37" x14ac:dyDescent="0.25">
      <c r="A187" s="36"/>
      <c r="B187" s="36"/>
      <c r="C187" s="64"/>
      <c r="D187" s="64"/>
      <c r="E187" s="63"/>
      <c r="F187" s="64"/>
      <c r="G187" s="64"/>
      <c r="H187" s="64"/>
      <c r="I187" s="64"/>
      <c r="J187" s="64"/>
      <c r="K187" s="64"/>
      <c r="L187" s="64"/>
      <c r="M187" s="63"/>
      <c r="N187" s="63"/>
      <c r="O187" s="63"/>
      <c r="P187" s="63"/>
      <c r="Q187" s="64"/>
      <c r="R187" s="63"/>
      <c r="S187" s="63"/>
      <c r="T187" s="67"/>
      <c r="U187" s="65"/>
      <c r="V187" s="6"/>
      <c r="W187" s="42" t="e">
        <f>VLOOKUP($I187,'AnmeldeVSS-Attribute'!$A$2:$H$16,2,FALSE)</f>
        <v>#N/A</v>
      </c>
      <c r="X187" s="42" t="e">
        <f>VLOOKUP($I187,'AnmeldeVSS-Attribute'!$A$2:$H$16,3,FALSE)</f>
        <v>#N/A</v>
      </c>
      <c r="Y187" s="42" t="e">
        <f>VLOOKUP($I187,'AnmeldeVSS-Attribute'!$A$2:$H$16,4,FALSE)</f>
        <v>#N/A</v>
      </c>
      <c r="Z187" s="42" t="e">
        <f>VLOOKUP($I187,'AnmeldeVSS-Attribute'!$A$2:$H$16,5,FALSE)</f>
        <v>#N/A</v>
      </c>
      <c r="AA187" s="42" t="e">
        <f>VLOOKUP($I187,'AnmeldeVSS-Attribute'!$A$2:$H$16,6,FALSE)</f>
        <v>#N/A</v>
      </c>
      <c r="AB187" s="42" t="e">
        <f>VLOOKUP($I187,'AnmeldeVSS-Attribute'!$A$2:$H$16,7,FALSE)</f>
        <v>#N/A</v>
      </c>
      <c r="AC187" s="42" t="e">
        <f>IF(I187="Geldbetrag",J187,(IF(T187="",VLOOKUP($I187,'AnmeldeVSS-Attribute'!$A$2:$H$16,8,FALSE),T187)))</f>
        <v>#N/A</v>
      </c>
      <c r="AD187" s="42">
        <f>IF(S187="",0,VLOOKUP(S187,'AnmeldeVSS-Attribute'!$A$20:$B$26,2,FALSE))</f>
        <v>0</v>
      </c>
      <c r="AE187" s="42" t="e">
        <f t="shared" si="13"/>
        <v>#N/A</v>
      </c>
      <c r="AF187" s="42" t="str">
        <f t="shared" si="19"/>
        <v/>
      </c>
      <c r="AG187" s="42" t="str">
        <f t="shared" si="15"/>
        <v/>
      </c>
      <c r="AH187" s="47" t="str">
        <f t="shared" si="20"/>
        <v/>
      </c>
      <c r="AI187" s="47" t="str">
        <f t="shared" si="21"/>
        <v/>
      </c>
      <c r="AJ187" s="42" t="str">
        <f>IF(O187="",(IF(P187="Ansicht","INSERT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B187 &amp;" ,NULL ,'',349,"&amp; VLOOKUP(Q187,'AnmeldeVSS-Attribute'!$A$43:$B$50,2,FALSE)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B187 &amp;" ,"&amp; O187 &amp;" ,"&amp; IF(Q187="ja","'1'",IF(Q187="nein","'0'","'"&amp;Q187&amp;"'")) &amp;","&amp;IF(P187="enthält",349,IF(P187="nicht leer",352,IF(P187="enthält nicht",350,IF(P187="leer",351,0)))) &amp;" ,NULL ,GetDate() ,'scrc' ,GetDate() ,'scrc')")</f>
        <v/>
      </c>
      <c r="AK187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8" spans="1:37" x14ac:dyDescent="0.25">
      <c r="A188" s="66"/>
      <c r="B188" s="66"/>
      <c r="C188" s="68"/>
      <c r="D188" s="68"/>
      <c r="E188" s="66"/>
      <c r="F188" s="68"/>
      <c r="G188" s="68"/>
      <c r="H188" s="68"/>
      <c r="I188" s="68"/>
      <c r="J188" s="68"/>
      <c r="K188" s="68"/>
      <c r="L188" s="68"/>
      <c r="M188" s="66"/>
      <c r="N188" s="66"/>
      <c r="O188" s="66"/>
      <c r="P188" s="66"/>
      <c r="Q188" s="68"/>
      <c r="R188" s="66"/>
      <c r="S188" s="66"/>
      <c r="T188" s="69"/>
      <c r="U188" s="69"/>
      <c r="W188" s="42" t="e">
        <f>VLOOKUP($I188,'AnmeldeVSS-Attribute'!$A$2:$H$16,2,FALSE)</f>
        <v>#N/A</v>
      </c>
      <c r="X188" s="42" t="e">
        <f>VLOOKUP($I188,'AnmeldeVSS-Attribute'!$A$2:$H$16,3,FALSE)</f>
        <v>#N/A</v>
      </c>
      <c r="Y188" s="42" t="e">
        <f>VLOOKUP($I188,'AnmeldeVSS-Attribute'!$A$2:$H$16,4,FALSE)</f>
        <v>#N/A</v>
      </c>
      <c r="Z188" s="42" t="e">
        <f>VLOOKUP($I188,'AnmeldeVSS-Attribute'!$A$2:$H$16,5,FALSE)</f>
        <v>#N/A</v>
      </c>
      <c r="AA188" s="42" t="e">
        <f>VLOOKUP($I188,'AnmeldeVSS-Attribute'!$A$2:$H$16,6,FALSE)</f>
        <v>#N/A</v>
      </c>
      <c r="AB188" s="42" t="e">
        <f>VLOOKUP($I188,'AnmeldeVSS-Attribute'!$A$2:$H$16,7,FALSE)</f>
        <v>#N/A</v>
      </c>
      <c r="AC188" s="42" t="e">
        <f>IF(I188="Geldbetrag",J188,(IF(T188="",VLOOKUP($I188,'AnmeldeVSS-Attribute'!$A$2:$H$16,8,FALSE),T188)))</f>
        <v>#N/A</v>
      </c>
      <c r="AD188" s="42">
        <f>IF(S188="",0,VLOOKUP(S188,'AnmeldeVSS-Attribute'!$A$20:$B$26,2,FALSE))</f>
        <v>0</v>
      </c>
      <c r="AE188" s="42" t="e">
        <f t="shared" si="13"/>
        <v>#N/A</v>
      </c>
      <c r="AF188" s="42" t="str">
        <f t="shared" si="19"/>
        <v/>
      </c>
      <c r="AG188" s="42" t="str">
        <f t="shared" si="15"/>
        <v/>
      </c>
      <c r="AH188" s="47" t="str">
        <f t="shared" si="20"/>
        <v/>
      </c>
      <c r="AI188" s="47" t="str">
        <f t="shared" si="21"/>
        <v/>
      </c>
      <c r="AJ188" s="42" t="str">
        <f>IF(O188="",(IF(P188="Ansicht","INSERT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B188 &amp;" ,NULL ,'',349,"&amp; VLOOKUP(Q188,'AnmeldeVSS-Attribute'!$A$43:$B$50,2,FALSE)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B188 &amp;" ,"&amp; O188 &amp;" ,"&amp; IF(Q188="ja","'1'",IF(Q188="nein","'0'","'"&amp;Q188&amp;"'")) &amp;","&amp;IF(P188="enthält",349,IF(P188="nicht leer",352,IF(P188="enthält nicht",350,IF(P188="leer",351,0)))) &amp;" ,NULL ,GetDate() ,'scrc' ,GetDate() ,'scrc')")</f>
        <v/>
      </c>
      <c r="AK188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89" spans="1:37" x14ac:dyDescent="0.25">
      <c r="A189" s="36"/>
      <c r="B189" s="36"/>
      <c r="C189" s="68"/>
      <c r="D189" s="68"/>
      <c r="E189" s="66"/>
      <c r="F189" s="68"/>
      <c r="G189" s="68"/>
      <c r="H189" s="68"/>
      <c r="I189" s="68"/>
      <c r="J189" s="68"/>
      <c r="K189" s="68"/>
      <c r="L189" s="68"/>
      <c r="M189" s="66"/>
      <c r="N189" s="66"/>
      <c r="O189" s="66"/>
      <c r="P189" s="66"/>
      <c r="Q189" s="68"/>
      <c r="R189" s="66"/>
      <c r="S189" s="66"/>
      <c r="T189" s="65"/>
      <c r="U189" s="65"/>
      <c r="W189" s="42" t="e">
        <f>VLOOKUP($I189,'AnmeldeVSS-Attribute'!$A$2:$H$16,2,FALSE)</f>
        <v>#N/A</v>
      </c>
      <c r="X189" s="42" t="e">
        <f>VLOOKUP($I189,'AnmeldeVSS-Attribute'!$A$2:$H$16,3,FALSE)</f>
        <v>#N/A</v>
      </c>
      <c r="Y189" s="42" t="e">
        <f>VLOOKUP($I189,'AnmeldeVSS-Attribute'!$A$2:$H$16,4,FALSE)</f>
        <v>#N/A</v>
      </c>
      <c r="Z189" s="42" t="e">
        <f>VLOOKUP($I189,'AnmeldeVSS-Attribute'!$A$2:$H$16,5,FALSE)</f>
        <v>#N/A</v>
      </c>
      <c r="AA189" s="42" t="e">
        <f>VLOOKUP($I189,'AnmeldeVSS-Attribute'!$A$2:$H$16,6,FALSE)</f>
        <v>#N/A</v>
      </c>
      <c r="AB189" s="42" t="e">
        <f>VLOOKUP($I189,'AnmeldeVSS-Attribute'!$A$2:$H$16,7,FALSE)</f>
        <v>#N/A</v>
      </c>
      <c r="AC189" s="42" t="e">
        <f>IF(I189="Geldbetrag",J189,(IF(T189="",VLOOKUP($I189,'AnmeldeVSS-Attribute'!$A$2:$H$16,8,FALSE),T189)))</f>
        <v>#N/A</v>
      </c>
      <c r="AD189" s="42">
        <f>IF(S189="",0,VLOOKUP(S189,'AnmeldeVSS-Attribute'!$A$20:$B$26,2,FALSE))</f>
        <v>0</v>
      </c>
      <c r="AE189" s="42" t="e">
        <f t="shared" si="13"/>
        <v>#N/A</v>
      </c>
      <c r="AF189" s="42" t="str">
        <f t="shared" si="19"/>
        <v/>
      </c>
      <c r="AG189" s="42" t="str">
        <f t="shared" si="15"/>
        <v/>
      </c>
      <c r="AH189" s="47" t="str">
        <f t="shared" si="20"/>
        <v/>
      </c>
      <c r="AI189" s="47" t="str">
        <f t="shared" si="21"/>
        <v/>
      </c>
      <c r="AJ189" s="42" t="str">
        <f>IF(O189="",(IF(P189="Ansicht","INSERT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B189 &amp;" ,NULL ,'',349,"&amp; VLOOKUP(Q189,'AnmeldeVSS-Attribute'!$A$43:$B$50,2,FALSE)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B189 &amp;" ,"&amp; O189 &amp;" ,"&amp; IF(Q189="ja","'1'",IF(Q189="nein","'0'","'"&amp;Q189&amp;"'")) &amp;","&amp;IF(P189="enthält",349,IF(P189="nicht leer",352,IF(P189="enthält nicht",350,IF(P189="leer",351,0)))) &amp;" ,NULL ,GetDate() ,'scrc' ,GetDate() ,'scrc')")</f>
        <v/>
      </c>
      <c r="AK189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0" spans="1:37" x14ac:dyDescent="0.25">
      <c r="A190" s="36"/>
      <c r="B190" s="36"/>
      <c r="C190" s="68"/>
      <c r="D190" s="68"/>
      <c r="E190" s="66"/>
      <c r="F190" s="68"/>
      <c r="G190" s="68"/>
      <c r="H190" s="68"/>
      <c r="I190" s="68"/>
      <c r="J190" s="68"/>
      <c r="K190" s="68"/>
      <c r="L190" s="68"/>
      <c r="M190" s="66"/>
      <c r="N190" s="66"/>
      <c r="O190" s="66"/>
      <c r="P190" s="66"/>
      <c r="Q190" s="68"/>
      <c r="R190" s="66"/>
      <c r="S190" s="66"/>
      <c r="T190" s="65"/>
      <c r="U190" s="65"/>
      <c r="W190" s="42" t="e">
        <f>VLOOKUP($I190,'AnmeldeVSS-Attribute'!$A$2:$H$16,2,FALSE)</f>
        <v>#N/A</v>
      </c>
      <c r="X190" s="42" t="e">
        <f>VLOOKUP($I190,'AnmeldeVSS-Attribute'!$A$2:$H$16,3,FALSE)</f>
        <v>#N/A</v>
      </c>
      <c r="Y190" s="42" t="e">
        <f>VLOOKUP($I190,'AnmeldeVSS-Attribute'!$A$2:$H$16,4,FALSE)</f>
        <v>#N/A</v>
      </c>
      <c r="Z190" s="42" t="e">
        <f>VLOOKUP($I190,'AnmeldeVSS-Attribute'!$A$2:$H$16,5,FALSE)</f>
        <v>#N/A</v>
      </c>
      <c r="AA190" s="42" t="e">
        <f>VLOOKUP($I190,'AnmeldeVSS-Attribute'!$A$2:$H$16,6,FALSE)</f>
        <v>#N/A</v>
      </c>
      <c r="AB190" s="42" t="e">
        <f>VLOOKUP($I190,'AnmeldeVSS-Attribute'!$A$2:$H$16,7,FALSE)</f>
        <v>#N/A</v>
      </c>
      <c r="AC190" s="42" t="e">
        <f>IF(I190="Geldbetrag",J190,(IF(T190="",VLOOKUP($I190,'AnmeldeVSS-Attribute'!$A$2:$H$16,8,FALSE),T190)))</f>
        <v>#N/A</v>
      </c>
      <c r="AD190" s="42">
        <f>IF(S190="",0,VLOOKUP(S190,'AnmeldeVSS-Attribute'!$A$20:$B$26,2,FALSE))</f>
        <v>0</v>
      </c>
      <c r="AE190" s="42" t="e">
        <f t="shared" si="13"/>
        <v>#N/A</v>
      </c>
      <c r="AF190" s="42" t="str">
        <f t="shared" si="19"/>
        <v/>
      </c>
      <c r="AG190" s="42" t="str">
        <f t="shared" si="15"/>
        <v/>
      </c>
      <c r="AH190" s="47" t="str">
        <f t="shared" si="20"/>
        <v/>
      </c>
      <c r="AI190" s="47" t="str">
        <f t="shared" si="21"/>
        <v/>
      </c>
      <c r="AJ190" s="42" t="str">
        <f>IF(O190="",(IF(P190="Ansicht","INSERT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B190 &amp;" ,NULL ,'',349,"&amp; VLOOKUP(Q190,'AnmeldeVSS-Attribute'!$A$43:$B$50,2,FALSE)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B190 &amp;" ,"&amp; O190 &amp;" ,"&amp; IF(Q190="ja","'1'",IF(Q190="nein","'0'","'"&amp;Q190&amp;"'")) &amp;","&amp;IF(P190="enthält",349,IF(P190="nicht leer",352,IF(P190="enthält nicht",350,IF(P190="leer",351,0)))) &amp;" ,NULL ,GetDate() ,'scrc' ,GetDate() ,'scrc')")</f>
        <v/>
      </c>
      <c r="AK190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1" spans="1:37" x14ac:dyDescent="0.25">
      <c r="A191" s="66"/>
      <c r="B191" s="66"/>
      <c r="C191" s="64"/>
      <c r="D191" s="64"/>
      <c r="E191" s="63"/>
      <c r="F191" s="64"/>
      <c r="G191" s="64"/>
      <c r="H191" s="64"/>
      <c r="I191" s="64"/>
      <c r="J191" s="64"/>
      <c r="K191" s="64"/>
      <c r="L191" s="64"/>
      <c r="M191" s="63"/>
      <c r="N191" s="63"/>
      <c r="O191" s="63"/>
      <c r="P191" s="63"/>
      <c r="Q191" s="64"/>
      <c r="R191" s="63"/>
      <c r="S191" s="63"/>
      <c r="T191" s="69"/>
      <c r="U191" s="69"/>
      <c r="V191" s="42"/>
      <c r="W191" s="42" t="e">
        <f>VLOOKUP($I191,'AnmeldeVSS-Attribute'!$A$2:$H$16,2,FALSE)</f>
        <v>#N/A</v>
      </c>
      <c r="X191" s="42" t="e">
        <f>VLOOKUP($I191,'AnmeldeVSS-Attribute'!$A$2:$H$16,3,FALSE)</f>
        <v>#N/A</v>
      </c>
      <c r="Y191" s="42" t="e">
        <f>VLOOKUP($I191,'AnmeldeVSS-Attribute'!$A$2:$H$16,4,FALSE)</f>
        <v>#N/A</v>
      </c>
      <c r="Z191" s="42" t="e">
        <f>VLOOKUP($I191,'AnmeldeVSS-Attribute'!$A$2:$H$16,5,FALSE)</f>
        <v>#N/A</v>
      </c>
      <c r="AA191" s="42" t="e">
        <f>VLOOKUP($I191,'AnmeldeVSS-Attribute'!$A$2:$H$16,6,FALSE)</f>
        <v>#N/A</v>
      </c>
      <c r="AB191" s="42" t="e">
        <f>VLOOKUP($I191,'AnmeldeVSS-Attribute'!$A$2:$H$16,7,FALSE)</f>
        <v>#N/A</v>
      </c>
      <c r="AC191" s="42" t="e">
        <f>IF(I191="Geldbetrag",J191,(IF(T191="",VLOOKUP($I191,'AnmeldeVSS-Attribute'!$A$2:$H$16,8,FALSE),T191)))</f>
        <v>#N/A</v>
      </c>
      <c r="AD191" s="42">
        <f>IF(S191="",0,VLOOKUP(S191,'AnmeldeVSS-Attribute'!$A$20:$B$26,2,FALSE))</f>
        <v>0</v>
      </c>
      <c r="AE191" s="42" t="e">
        <f t="shared" si="13"/>
        <v>#N/A</v>
      </c>
      <c r="AF191" s="42" t="str">
        <f t="shared" si="19"/>
        <v/>
      </c>
      <c r="AG191" s="42" t="str">
        <f t="shared" si="15"/>
        <v/>
      </c>
      <c r="AH191" s="47" t="str">
        <f t="shared" si="20"/>
        <v/>
      </c>
      <c r="AI191" s="47" t="str">
        <f t="shared" si="21"/>
        <v/>
      </c>
      <c r="AJ191" s="42" t="str">
        <f>IF(O191="",(IF(P191="Ansicht","INSERT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B191 &amp;" ,NULL ,'',349,"&amp; VLOOKUP(Q191,'AnmeldeVSS-Attribute'!$A$43:$B$50,2,FALSE)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B191 &amp;" ,"&amp; O191 &amp;" ,"&amp; IF(Q191="ja","'1'",IF(Q191="nein","'0'","'"&amp;Q191&amp;"'")) &amp;","&amp;IF(P191="enthält",349,IF(P191="nicht leer",352,IF(P191="enthält nicht",350,IF(P191="leer",351,0)))) &amp;" ,NULL ,GetDate() ,'scrc' ,GetDate() ,'scrc')")</f>
        <v/>
      </c>
      <c r="AK191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2" spans="1:37" x14ac:dyDescent="0.25">
      <c r="A192" s="66"/>
      <c r="B192" s="66"/>
      <c r="C192" s="64"/>
      <c r="D192" s="64"/>
      <c r="E192" s="63"/>
      <c r="F192" s="64"/>
      <c r="G192" s="64"/>
      <c r="H192" s="64"/>
      <c r="I192" s="64"/>
      <c r="J192" s="64"/>
      <c r="K192" s="64"/>
      <c r="L192" s="64"/>
      <c r="M192" s="63"/>
      <c r="N192" s="63"/>
      <c r="O192" s="63"/>
      <c r="P192" s="63"/>
      <c r="Q192" s="64"/>
      <c r="R192" s="63"/>
      <c r="S192" s="63"/>
      <c r="T192" s="65"/>
      <c r="U192" s="65"/>
      <c r="V192" s="42"/>
      <c r="W192" s="42" t="e">
        <f>VLOOKUP($I192,'AnmeldeVSS-Attribute'!$A$2:$H$16,2,FALSE)</f>
        <v>#N/A</v>
      </c>
      <c r="X192" s="42" t="e">
        <f>VLOOKUP($I192,'AnmeldeVSS-Attribute'!$A$2:$H$16,3,FALSE)</f>
        <v>#N/A</v>
      </c>
      <c r="Y192" s="42" t="e">
        <f>VLOOKUP($I192,'AnmeldeVSS-Attribute'!$A$2:$H$16,4,FALSE)</f>
        <v>#N/A</v>
      </c>
      <c r="Z192" s="42" t="e">
        <f>VLOOKUP($I192,'AnmeldeVSS-Attribute'!$A$2:$H$16,5,FALSE)</f>
        <v>#N/A</v>
      </c>
      <c r="AA192" s="42" t="e">
        <f>VLOOKUP($I192,'AnmeldeVSS-Attribute'!$A$2:$H$16,6,FALSE)</f>
        <v>#N/A</v>
      </c>
      <c r="AB192" s="42" t="e">
        <f>VLOOKUP($I192,'AnmeldeVSS-Attribute'!$A$2:$H$16,7,FALSE)</f>
        <v>#N/A</v>
      </c>
      <c r="AC192" s="42" t="e">
        <f>IF(I192="Geldbetrag",J192,(IF(T192="",VLOOKUP($I192,'AnmeldeVSS-Attribute'!$A$2:$H$16,8,FALSE),T192)))</f>
        <v>#N/A</v>
      </c>
      <c r="AD192" s="42">
        <f>IF(S192="",0,VLOOKUP(S192,'AnmeldeVSS-Attribute'!$A$20:$B$26,2,FALSE))</f>
        <v>0</v>
      </c>
      <c r="AE192" s="42" t="e">
        <f t="shared" si="13"/>
        <v>#N/A</v>
      </c>
      <c r="AF192" s="42" t="str">
        <f t="shared" si="19"/>
        <v/>
      </c>
      <c r="AG192" s="42" t="str">
        <f t="shared" si="15"/>
        <v/>
      </c>
      <c r="AH192" s="47" t="str">
        <f t="shared" si="20"/>
        <v/>
      </c>
      <c r="AI192" s="47" t="str">
        <f t="shared" si="21"/>
        <v/>
      </c>
      <c r="AJ192" s="42" t="str">
        <f>IF(O192="",(IF(P192="Ansicht","INSERT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B192 &amp;" ,NULL ,'',349,"&amp; VLOOKUP(Q192,'AnmeldeVSS-Attribute'!$A$43:$B$50,2,FALSE)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B192 &amp;" ,"&amp; O192 &amp;" ,"&amp; IF(Q192="ja","'1'",IF(Q192="nein","'0'","'"&amp;Q192&amp;"'")) &amp;","&amp;IF(P192="enthält",349,IF(P192="nicht leer",352,IF(P192="enthält nicht",350,IF(P192="leer",351,0)))) &amp;" ,NULL ,GetDate() ,'scrc' ,GetDate() ,'scrc')")</f>
        <v/>
      </c>
      <c r="AK192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3" spans="1:37" x14ac:dyDescent="0.25">
      <c r="A193" s="36"/>
      <c r="B193" s="36"/>
      <c r="C193" s="68"/>
      <c r="D193" s="68"/>
      <c r="E193" s="66"/>
      <c r="F193" s="68"/>
      <c r="G193" s="68"/>
      <c r="H193" s="68"/>
      <c r="I193" s="68"/>
      <c r="J193" s="68"/>
      <c r="K193" s="68"/>
      <c r="L193" s="68"/>
      <c r="M193" s="66"/>
      <c r="N193" s="66"/>
      <c r="O193" s="66"/>
      <c r="P193" s="66"/>
      <c r="Q193" s="68"/>
      <c r="R193" s="66"/>
      <c r="S193" s="66"/>
      <c r="T193" s="65"/>
      <c r="U193" s="65"/>
      <c r="V193" s="42"/>
      <c r="W193" s="42" t="e">
        <f>VLOOKUP($I193,'AnmeldeVSS-Attribute'!$A$2:$H$16,2,FALSE)</f>
        <v>#N/A</v>
      </c>
      <c r="X193" s="42" t="e">
        <f>VLOOKUP($I193,'AnmeldeVSS-Attribute'!$A$2:$H$16,3,FALSE)</f>
        <v>#N/A</v>
      </c>
      <c r="Y193" s="42" t="e">
        <f>VLOOKUP($I193,'AnmeldeVSS-Attribute'!$A$2:$H$16,4,FALSE)</f>
        <v>#N/A</v>
      </c>
      <c r="Z193" s="42" t="e">
        <f>VLOOKUP($I193,'AnmeldeVSS-Attribute'!$A$2:$H$16,5,FALSE)</f>
        <v>#N/A</v>
      </c>
      <c r="AA193" s="42" t="e">
        <f>VLOOKUP($I193,'AnmeldeVSS-Attribute'!$A$2:$H$16,6,FALSE)</f>
        <v>#N/A</v>
      </c>
      <c r="AB193" s="42" t="e">
        <f>VLOOKUP($I193,'AnmeldeVSS-Attribute'!$A$2:$H$16,7,FALSE)</f>
        <v>#N/A</v>
      </c>
      <c r="AC193" s="42" t="e">
        <f>IF(I193="Geldbetrag",J193,(IF(T193="",VLOOKUP($I193,'AnmeldeVSS-Attribute'!$A$2:$H$16,8,FALSE),T193)))</f>
        <v>#N/A</v>
      </c>
      <c r="AD193" s="42">
        <f>IF(S193="",0,VLOOKUP(S193,'AnmeldeVSS-Attribute'!$A$20:$B$26,2,FALSE))</f>
        <v>0</v>
      </c>
      <c r="AE193" s="42" t="e">
        <f t="shared" si="13"/>
        <v>#N/A</v>
      </c>
      <c r="AF193" s="42" t="str">
        <f t="shared" si="19"/>
        <v/>
      </c>
      <c r="AG193" s="42" t="str">
        <f t="shared" si="15"/>
        <v/>
      </c>
      <c r="AH193" s="47" t="str">
        <f t="shared" si="20"/>
        <v/>
      </c>
      <c r="AI193" s="47" t="str">
        <f t="shared" si="21"/>
        <v/>
      </c>
      <c r="AJ193" s="42" t="str">
        <f>IF(O193="",(IF(P193="Ansicht","INSERT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B193 &amp;" ,NULL ,'',349,"&amp; VLOOKUP(Q193,'AnmeldeVSS-Attribute'!$A$43:$B$50,2,FALSE)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B193 &amp;" ,"&amp; O193 &amp;" ,"&amp; IF(Q193="ja","'1'",IF(Q193="nein","'0'","'"&amp;Q193&amp;"'")) &amp;","&amp;IF(P193="enthält",349,IF(P193="nicht leer",352,IF(P193="enthält nicht",350,IF(P193="leer",351,0)))) &amp;" ,NULL ,GetDate() ,'scrc' ,GetDate() ,'scrc')")</f>
        <v/>
      </c>
      <c r="AK193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4" spans="1:37" x14ac:dyDescent="0.25">
      <c r="A194" s="36"/>
      <c r="B194" s="36"/>
      <c r="C194" s="68"/>
      <c r="D194" s="68"/>
      <c r="E194" s="66"/>
      <c r="F194" s="68"/>
      <c r="G194" s="68"/>
      <c r="H194" s="68"/>
      <c r="I194" s="68"/>
      <c r="J194" s="68"/>
      <c r="K194" s="68"/>
      <c r="L194" s="68"/>
      <c r="M194" s="66"/>
      <c r="N194" s="66"/>
      <c r="O194" s="66"/>
      <c r="P194" s="66"/>
      <c r="Q194" s="68"/>
      <c r="R194" s="66"/>
      <c r="S194" s="66"/>
      <c r="T194" s="65"/>
      <c r="U194" s="65"/>
      <c r="V194" s="42"/>
      <c r="W194" s="42" t="e">
        <f>VLOOKUP($I194,'AnmeldeVSS-Attribute'!$A$2:$H$16,2,FALSE)</f>
        <v>#N/A</v>
      </c>
      <c r="X194" s="42" t="e">
        <f>VLOOKUP($I194,'AnmeldeVSS-Attribute'!$A$2:$H$16,3,FALSE)</f>
        <v>#N/A</v>
      </c>
      <c r="Y194" s="42" t="e">
        <f>VLOOKUP($I194,'AnmeldeVSS-Attribute'!$A$2:$H$16,4,FALSE)</f>
        <v>#N/A</v>
      </c>
      <c r="Z194" s="42" t="e">
        <f>VLOOKUP($I194,'AnmeldeVSS-Attribute'!$A$2:$H$16,5,FALSE)</f>
        <v>#N/A</v>
      </c>
      <c r="AA194" s="42" t="e">
        <f>VLOOKUP($I194,'AnmeldeVSS-Attribute'!$A$2:$H$16,6,FALSE)</f>
        <v>#N/A</v>
      </c>
      <c r="AB194" s="42" t="e">
        <f>VLOOKUP($I194,'AnmeldeVSS-Attribute'!$A$2:$H$16,7,FALSE)</f>
        <v>#N/A</v>
      </c>
      <c r="AC194" s="42" t="e">
        <f>IF(I194="Geldbetrag",J194,(IF(T194="",VLOOKUP($I194,'AnmeldeVSS-Attribute'!$A$2:$H$16,8,FALSE),T194)))</f>
        <v>#N/A</v>
      </c>
      <c r="AD194" s="42">
        <f>IF(S194="",0,VLOOKUP(S194,'AnmeldeVSS-Attribute'!$A$20:$B$26,2,FALSE))</f>
        <v>0</v>
      </c>
      <c r="AE194" s="42" t="e">
        <f t="shared" si="13"/>
        <v>#N/A</v>
      </c>
      <c r="AF194" s="42" t="str">
        <f t="shared" si="19"/>
        <v/>
      </c>
      <c r="AG194" s="42" t="str">
        <f t="shared" si="15"/>
        <v/>
      </c>
      <c r="AH194" s="47" t="str">
        <f t="shared" si="20"/>
        <v/>
      </c>
      <c r="AI194" s="47" t="str">
        <f t="shared" si="21"/>
        <v/>
      </c>
      <c r="AJ194" s="42" t="str">
        <f>IF(O194="",(IF(P194="Ansicht","INSERT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B194 &amp;" ,NULL ,'',349,"&amp; VLOOKUP(Q194,'AnmeldeVSS-Attribute'!$A$43:$B$50,2,FALSE)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B194 &amp;" ,"&amp; O194 &amp;" ,"&amp; IF(Q194="ja","'1'",IF(Q194="nein","'0'","'"&amp;Q194&amp;"'")) &amp;","&amp;IF(P194="enthält",349,IF(P194="nicht leer",352,IF(P194="enthält nicht",350,IF(P194="leer",351,0)))) &amp;" ,NULL ,GetDate() ,'scrc' ,GetDate() ,'scrc')")</f>
        <v/>
      </c>
      <c r="AK194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5" spans="1:37" x14ac:dyDescent="0.25">
      <c r="A195" s="66"/>
      <c r="B195" s="66"/>
      <c r="C195" s="68"/>
      <c r="D195" s="68"/>
      <c r="E195" s="66"/>
      <c r="F195" s="68"/>
      <c r="G195" s="57"/>
      <c r="H195" s="57"/>
      <c r="I195" s="68"/>
      <c r="J195" s="68"/>
      <c r="K195" s="68"/>
      <c r="L195" s="68"/>
      <c r="M195" s="66"/>
      <c r="N195" s="66"/>
      <c r="O195" s="66"/>
      <c r="P195" s="66"/>
      <c r="Q195" s="68"/>
      <c r="R195" s="66"/>
      <c r="S195" s="66"/>
      <c r="T195" s="69"/>
      <c r="U195" s="69"/>
      <c r="W195" s="42" t="e">
        <f>VLOOKUP($I195,'AnmeldeVSS-Attribute'!$A$2:$H$16,2,FALSE)</f>
        <v>#N/A</v>
      </c>
      <c r="X195" s="42" t="e">
        <f>VLOOKUP($I195,'AnmeldeVSS-Attribute'!$A$2:$H$16,3,FALSE)</f>
        <v>#N/A</v>
      </c>
      <c r="Y195" s="42" t="e">
        <f>VLOOKUP($I195,'AnmeldeVSS-Attribute'!$A$2:$H$16,4,FALSE)</f>
        <v>#N/A</v>
      </c>
      <c r="Z195" s="42" t="e">
        <f>VLOOKUP($I195,'AnmeldeVSS-Attribute'!$A$2:$H$16,5,FALSE)</f>
        <v>#N/A</v>
      </c>
      <c r="AA195" s="42" t="e">
        <f>VLOOKUP($I195,'AnmeldeVSS-Attribute'!$A$2:$H$16,6,FALSE)</f>
        <v>#N/A</v>
      </c>
      <c r="AB195" s="42" t="e">
        <f>VLOOKUP($I195,'AnmeldeVSS-Attribute'!$A$2:$H$16,7,FALSE)</f>
        <v>#N/A</v>
      </c>
      <c r="AC195" s="42" t="e">
        <f>IF(I195="Geldbetrag",J195,(IF(T195="",VLOOKUP($I195,'AnmeldeVSS-Attribute'!$A$2:$H$16,8,FALSE),T195)))</f>
        <v>#N/A</v>
      </c>
      <c r="AD195" s="42">
        <f>IF(S195="",0,VLOOKUP(S195,'AnmeldeVSS-Attribute'!$A$20:$B$26,2,FALSE))</f>
        <v>0</v>
      </c>
      <c r="AE195" s="42" t="e">
        <f t="shared" si="13"/>
        <v>#N/A</v>
      </c>
      <c r="AF195" s="42" t="str">
        <f t="shared" si="19"/>
        <v/>
      </c>
      <c r="AG195" s="42" t="str">
        <f t="shared" si="15"/>
        <v/>
      </c>
      <c r="AH195" s="47" t="str">
        <f t="shared" si="20"/>
        <v/>
      </c>
      <c r="AI195" s="47" t="str">
        <f t="shared" si="21"/>
        <v/>
      </c>
      <c r="AJ195" s="42" t="str">
        <f>IF(O195="",(IF(P195="Ansicht","INSERT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B195 &amp;" ,NULL ,'',349,"&amp; VLOOKUP(Q195,'AnmeldeVSS-Attribute'!$A$43:$B$50,2,FALSE)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B195 &amp;" ,"&amp; O195 &amp;" ,"&amp; IF(Q195="ja","'1'",IF(Q195="nein","'0'","'"&amp;Q195&amp;"'")) &amp;","&amp;IF(P195="enthält",349,IF(P195="nicht leer",352,IF(P195="enthält nicht",350,IF(P195="leer",351,0)))) &amp;" ,NULL ,GetDate() ,'scrc' ,GetDate() ,'scrc')")</f>
        <v/>
      </c>
      <c r="AK195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6" spans="1:37" x14ac:dyDescent="0.25">
      <c r="A196" s="66"/>
      <c r="B196" s="66"/>
      <c r="C196" s="64"/>
      <c r="D196" s="64"/>
      <c r="E196" s="63"/>
      <c r="F196" s="64"/>
      <c r="G196" s="60"/>
      <c r="H196" s="60"/>
      <c r="I196" s="64"/>
      <c r="J196" s="64"/>
      <c r="K196" s="64"/>
      <c r="L196" s="64"/>
      <c r="M196" s="63"/>
      <c r="N196" s="63"/>
      <c r="O196" s="55"/>
      <c r="P196" s="55"/>
      <c r="Q196" s="56"/>
      <c r="R196" s="63"/>
      <c r="S196" s="63"/>
      <c r="T196" s="65"/>
      <c r="U196" s="65"/>
      <c r="W196" s="42" t="e">
        <f>VLOOKUP($I196,'AnmeldeVSS-Attribute'!$A$2:$H$16,2,FALSE)</f>
        <v>#N/A</v>
      </c>
      <c r="X196" s="42" t="e">
        <f>VLOOKUP($I196,'AnmeldeVSS-Attribute'!$A$2:$H$16,3,FALSE)</f>
        <v>#N/A</v>
      </c>
      <c r="Y196" s="42" t="e">
        <f>VLOOKUP($I196,'AnmeldeVSS-Attribute'!$A$2:$H$16,4,FALSE)</f>
        <v>#N/A</v>
      </c>
      <c r="Z196" s="42" t="e">
        <f>VLOOKUP($I196,'AnmeldeVSS-Attribute'!$A$2:$H$16,5,FALSE)</f>
        <v>#N/A</v>
      </c>
      <c r="AA196" s="42" t="e">
        <f>VLOOKUP($I196,'AnmeldeVSS-Attribute'!$A$2:$H$16,6,FALSE)</f>
        <v>#N/A</v>
      </c>
      <c r="AB196" s="42" t="e">
        <f>VLOOKUP($I196,'AnmeldeVSS-Attribute'!$A$2:$H$16,7,FALSE)</f>
        <v>#N/A</v>
      </c>
      <c r="AC196" s="42" t="e">
        <f>IF(I196="Geldbetrag",J196,(IF(T196="",VLOOKUP($I196,'AnmeldeVSS-Attribute'!$A$2:$H$16,8,FALSE),T196)))</f>
        <v>#N/A</v>
      </c>
      <c r="AD196" s="42">
        <f>IF(S196="",0,VLOOKUP(S196,'AnmeldeVSS-Attribute'!$A$20:$B$26,2,FALSE))</f>
        <v>0</v>
      </c>
      <c r="AE196" s="42" t="e">
        <f t="shared" si="13"/>
        <v>#N/A</v>
      </c>
      <c r="AF196" s="42" t="str">
        <f t="shared" si="19"/>
        <v/>
      </c>
      <c r="AG196" s="42" t="str">
        <f t="shared" si="15"/>
        <v/>
      </c>
      <c r="AH196" s="47" t="str">
        <f t="shared" si="20"/>
        <v/>
      </c>
      <c r="AI196" s="47" t="str">
        <f t="shared" si="21"/>
        <v/>
      </c>
      <c r="AJ196" s="42" t="str">
        <f>IF(O196="",(IF(P196="Ansicht","INSERT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B196 &amp;" ,NULL ,'',349,"&amp; VLOOKUP(Q196,'AnmeldeVSS-Attribute'!$A$43:$B$50,2,FALSE)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B196 &amp;" ,"&amp; O196 &amp;" ,"&amp; IF(Q196="ja","'1'",IF(Q196="nein","'0'","'"&amp;Q196&amp;"'")) &amp;","&amp;IF(P196="enthält",349,IF(P196="nicht leer",352,IF(P196="enthält nicht",350,IF(P196="leer",351,0)))) &amp;" ,NULL ,GetDate() ,'scrc' ,GetDate() ,'scrc')")</f>
        <v/>
      </c>
      <c r="AK196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7" spans="1:37" x14ac:dyDescent="0.25">
      <c r="A197" s="66"/>
      <c r="B197" s="66"/>
      <c r="C197" s="64"/>
      <c r="D197" s="64"/>
      <c r="E197" s="63"/>
      <c r="F197" s="64"/>
      <c r="G197" s="60"/>
      <c r="H197" s="60"/>
      <c r="I197" s="64"/>
      <c r="J197" s="64"/>
      <c r="K197" s="64"/>
      <c r="L197" s="64"/>
      <c r="M197" s="63"/>
      <c r="N197" s="63"/>
      <c r="O197" s="63"/>
      <c r="P197" s="63"/>
      <c r="Q197" s="64"/>
      <c r="R197" s="63"/>
      <c r="S197" s="63"/>
      <c r="T197" s="65"/>
      <c r="U197" s="65"/>
      <c r="W197" s="42" t="e">
        <f>VLOOKUP($I197,'AnmeldeVSS-Attribute'!$A$2:$H$16,2,FALSE)</f>
        <v>#N/A</v>
      </c>
      <c r="X197" s="42" t="e">
        <f>VLOOKUP($I197,'AnmeldeVSS-Attribute'!$A$2:$H$16,3,FALSE)</f>
        <v>#N/A</v>
      </c>
      <c r="Y197" s="42" t="e">
        <f>VLOOKUP($I197,'AnmeldeVSS-Attribute'!$A$2:$H$16,4,FALSE)</f>
        <v>#N/A</v>
      </c>
      <c r="Z197" s="42" t="e">
        <f>VLOOKUP($I197,'AnmeldeVSS-Attribute'!$A$2:$H$16,5,FALSE)</f>
        <v>#N/A</v>
      </c>
      <c r="AA197" s="42" t="e">
        <f>VLOOKUP($I197,'AnmeldeVSS-Attribute'!$A$2:$H$16,6,FALSE)</f>
        <v>#N/A</v>
      </c>
      <c r="AB197" s="42" t="e">
        <f>VLOOKUP($I197,'AnmeldeVSS-Attribute'!$A$2:$H$16,7,FALSE)</f>
        <v>#N/A</v>
      </c>
      <c r="AC197" s="42" t="e">
        <f>IF(I197="Geldbetrag",J197,(IF(T197="",VLOOKUP($I197,'AnmeldeVSS-Attribute'!$A$2:$H$16,8,FALSE),T197)))</f>
        <v>#N/A</v>
      </c>
      <c r="AD197" s="42">
        <f>IF(S197="",0,VLOOKUP(S197,'AnmeldeVSS-Attribute'!$A$20:$B$26,2,FALSE))</f>
        <v>0</v>
      </c>
      <c r="AE197" s="42" t="e">
        <f t="shared" si="13"/>
        <v>#N/A</v>
      </c>
      <c r="AF197" s="42" t="str">
        <f t="shared" si="19"/>
        <v/>
      </c>
      <c r="AG197" s="42" t="str">
        <f t="shared" si="15"/>
        <v/>
      </c>
      <c r="AH197" s="47" t="str">
        <f t="shared" si="20"/>
        <v/>
      </c>
      <c r="AI197" s="47" t="str">
        <f t="shared" si="21"/>
        <v/>
      </c>
      <c r="AJ197" s="42" t="str">
        <f>IF(O197="",(IF(P197="Ansicht","INSERT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B197 &amp;" ,NULL ,'',349,"&amp; VLOOKUP(Q197,'AnmeldeVSS-Attribute'!$A$43:$B$50,2,FALSE)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B197 &amp;" ,"&amp; O197 &amp;" ,"&amp; IF(Q197="ja","'1'",IF(Q197="nein","'0'","'"&amp;Q197&amp;"'")) &amp;","&amp;IF(P197="enthält",349,IF(P197="nicht leer",352,IF(P197="enthält nicht",350,IF(P197="leer",351,0)))) &amp;" ,NULL ,GetDate() ,'scrc' ,GetDate() ,'scrc')")</f>
        <v/>
      </c>
      <c r="AK197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8" spans="1:37" x14ac:dyDescent="0.25">
      <c r="A198" s="36"/>
      <c r="B198" s="36"/>
      <c r="C198" s="68"/>
      <c r="D198" s="68"/>
      <c r="E198" s="66"/>
      <c r="F198" s="68"/>
      <c r="G198" s="57"/>
      <c r="H198" s="57"/>
      <c r="I198" s="68"/>
      <c r="J198" s="68"/>
      <c r="K198" s="68"/>
      <c r="L198" s="68"/>
      <c r="M198" s="66"/>
      <c r="N198" s="66"/>
      <c r="O198" s="66"/>
      <c r="P198" s="66"/>
      <c r="Q198" s="68"/>
      <c r="R198" s="66"/>
      <c r="S198" s="66"/>
      <c r="T198" s="65"/>
      <c r="U198" s="65"/>
      <c r="W198" s="42" t="e">
        <f>VLOOKUP($I198,'AnmeldeVSS-Attribute'!$A$2:$H$16,2,FALSE)</f>
        <v>#N/A</v>
      </c>
      <c r="X198" s="42" t="e">
        <f>VLOOKUP($I198,'AnmeldeVSS-Attribute'!$A$2:$H$16,3,FALSE)</f>
        <v>#N/A</v>
      </c>
      <c r="Y198" s="42" t="e">
        <f>VLOOKUP($I198,'AnmeldeVSS-Attribute'!$A$2:$H$16,4,FALSE)</f>
        <v>#N/A</v>
      </c>
      <c r="Z198" s="42" t="e">
        <f>VLOOKUP($I198,'AnmeldeVSS-Attribute'!$A$2:$H$16,5,FALSE)</f>
        <v>#N/A</v>
      </c>
      <c r="AA198" s="42" t="e">
        <f>VLOOKUP($I198,'AnmeldeVSS-Attribute'!$A$2:$H$16,6,FALSE)</f>
        <v>#N/A</v>
      </c>
      <c r="AB198" s="42" t="e">
        <f>VLOOKUP($I198,'AnmeldeVSS-Attribute'!$A$2:$H$16,7,FALSE)</f>
        <v>#N/A</v>
      </c>
      <c r="AC198" s="42" t="e">
        <f>IF(I198="Geldbetrag",J198,(IF(T198="",VLOOKUP($I198,'AnmeldeVSS-Attribute'!$A$2:$H$16,8,FALSE),T198)))</f>
        <v>#N/A</v>
      </c>
      <c r="AD198" s="42">
        <f>IF(S198="",0,VLOOKUP(S198,'AnmeldeVSS-Attribute'!$A$20:$B$26,2,FALSE))</f>
        <v>0</v>
      </c>
      <c r="AE198" s="42" t="e">
        <f t="shared" ref="AE198:AE257" si="23">"IF NOT EXISTS(SELECT * FROM tblAnmeldeVSS WHERE IdAnlass = "&amp;IDAnlass&amp;" AND IdAnmeldeVSS = "&amp;B198&amp;")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"&amp;B198&amp;", 0, '"&amp;C198&amp;"', '"&amp;LEFT(E198,20)&amp;"', '"&amp;W198&amp;"', '"&amp;X198&amp;"', '"&amp;Y198&amp;"', "&amp;IF(M198="Ja","1","0")&amp;", "&amp;IF(N198="lesen","'R'",IF(N198="ändern","'E'","'H'"))&amp;", 
 '"&amp;A198&amp;"', "&amp;Z198&amp;", "&amp;AA198&amp;", "&amp;AB198&amp;", GetDate(), '"&amp;IDBenutzer&amp;"', GetDate(), '"&amp;IDBenutzer&amp;"',
0, "
&amp;IF(I198="LookupKey","'SELECT ELVValue, IDELK
FROM   qryEvt_Bus_EventoLookupKey_All
WHERE  IDELKGroup = "&amp;AB198&amp;"
AND    ELVLangCode = @KontextIdLanguage
AND    SUBSTRING(ELKAdminModus, 2, 1) &lt;&gt; ''H''
ORDER BY ELVSort'",(IF(I198="Arbeitsanweisung","'SELECT LookupfieldsValue FROM   tblLookupfields WHERE  LookupfieldsTyp = ''Arbeitsanweisung'' ORDER BY LookupFieldsSort'","Null")))&amp;", "
&amp;IF(AC198&lt;&gt;"","'"&amp;AC198&amp;"'","NULL")&amp;", '"&amp;G198&amp;"' ,"&amp;IF(I198="Arbeitsanweisung","'Arbeitsanweisung'","NULL")&amp;")"</f>
        <v>#N/A</v>
      </c>
      <c r="AF198" s="42" t="str">
        <f t="shared" si="19"/>
        <v/>
      </c>
      <c r="AG198" s="42" t="str">
        <f t="shared" ref="AG198:AG257" si="24">IF($A198="","","Update tblAnmeldeVSS Set AnmeldeVSSSort ='"&amp; A198 &amp;"', AnmeldeVSSZuPruefen ="&amp; IF(R198="Ja",1,0) &amp;", AnmeldeVSSStyleSet ="&amp; AD198 &amp;", AnmeldeVSSInternet= "&amp;IF(N198="lesen","'R'",IF(N198="ändern","'E'",IF(N198="muss","'M'","'H'")))&amp;", AnmeldeVSSImmerSichtbar = " &amp; IF(M198="Ja",1,0) &amp; ", AnmeldeVSSDefaultWert=" &amp; IF(AC198&lt;&gt;"","'"&amp;AC198&amp;"'","NULL") &amp; ", AnmeldeVSSMuss="&amp; IF(L198="Ja",1,0) &amp;" Where IdAnlass=" &amp; IDAnlass &amp; " AND IdAnmeldeVSS = " &amp; B198)</f>
        <v/>
      </c>
      <c r="AH198" s="47" t="str">
        <f t="shared" si="20"/>
        <v/>
      </c>
      <c r="AI198" s="47" t="str">
        <f t="shared" si="21"/>
        <v/>
      </c>
      <c r="AJ198" s="42" t="str">
        <f>IF(O198="",(IF(P198="Ansicht","INSERT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B198 &amp;" ,NULL ,'',349,"&amp; VLOOKUP(Q198,'AnmeldeVSS-Attribute'!$A$43:$B$50,2,FALSE)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B198 &amp;" ,"&amp; O198 &amp;" ,"&amp; IF(Q198="ja","'1'",IF(Q198="nein","'0'","'"&amp;Q198&amp;"'")) &amp;","&amp;IF(P198="enthält",349,IF(P198="nicht leer",352,IF(P198="enthält nicht",350,IF(P198="leer",351,0)))) &amp;" ,NULL ,GetDate() ,'scrc' ,GetDate() ,'scrc')")</f>
        <v/>
      </c>
      <c r="AK198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199" spans="1:37" x14ac:dyDescent="0.25">
      <c r="A199" s="66"/>
      <c r="B199" s="66"/>
      <c r="C199" s="64"/>
      <c r="D199" s="64"/>
      <c r="E199" s="63"/>
      <c r="F199" s="64"/>
      <c r="G199" s="60"/>
      <c r="H199" s="60"/>
      <c r="I199" s="64"/>
      <c r="J199" s="64"/>
      <c r="K199" s="64"/>
      <c r="L199" s="64"/>
      <c r="M199" s="63"/>
      <c r="N199" s="63"/>
      <c r="O199" s="63"/>
      <c r="P199" s="63"/>
      <c r="Q199" s="64"/>
      <c r="R199" s="63"/>
      <c r="S199" s="63"/>
      <c r="T199" s="65"/>
      <c r="U199" s="65"/>
      <c r="W199" s="42" t="e">
        <f>VLOOKUP($I199,'AnmeldeVSS-Attribute'!$A$2:$H$16,2,FALSE)</f>
        <v>#N/A</v>
      </c>
      <c r="X199" s="42" t="e">
        <f>VLOOKUP($I199,'AnmeldeVSS-Attribute'!$A$2:$H$16,3,FALSE)</f>
        <v>#N/A</v>
      </c>
      <c r="Y199" s="42" t="e">
        <f>VLOOKUP($I199,'AnmeldeVSS-Attribute'!$A$2:$H$16,4,FALSE)</f>
        <v>#N/A</v>
      </c>
      <c r="Z199" s="42" t="e">
        <f>VLOOKUP($I199,'AnmeldeVSS-Attribute'!$A$2:$H$16,5,FALSE)</f>
        <v>#N/A</v>
      </c>
      <c r="AA199" s="42" t="e">
        <f>VLOOKUP($I199,'AnmeldeVSS-Attribute'!$A$2:$H$16,6,FALSE)</f>
        <v>#N/A</v>
      </c>
      <c r="AB199" s="42" t="e">
        <f>VLOOKUP($I199,'AnmeldeVSS-Attribute'!$A$2:$H$16,7,FALSE)</f>
        <v>#N/A</v>
      </c>
      <c r="AC199" s="42" t="e">
        <f>IF(I199="Geldbetrag",J199,(IF(T199="",VLOOKUP($I199,'AnmeldeVSS-Attribute'!$A$2:$H$16,8,FALSE),T199)))</f>
        <v>#N/A</v>
      </c>
      <c r="AD199" s="42">
        <f>IF(S199="",0,VLOOKUP(S199,'AnmeldeVSS-Attribute'!$A$20:$B$26,2,FALSE))</f>
        <v>0</v>
      </c>
      <c r="AE199" s="42" t="e">
        <f t="shared" si="23"/>
        <v>#N/A</v>
      </c>
      <c r="AF199" s="42" t="str">
        <f t="shared" si="19"/>
        <v/>
      </c>
      <c r="AG199" s="42" t="str">
        <f t="shared" si="24"/>
        <v/>
      </c>
      <c r="AH199" s="47" t="str">
        <f t="shared" si="20"/>
        <v/>
      </c>
      <c r="AI199" s="47" t="str">
        <f t="shared" si="21"/>
        <v/>
      </c>
      <c r="AJ199" s="42" t="str">
        <f>IF(O199="",(IF(P199="Ansicht","INSERT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B199 &amp;" ,NULL ,'',349,"&amp; VLOOKUP(Q199,'AnmeldeVSS-Attribute'!$A$43:$B$50,2,FALSE)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B199 &amp;" ,"&amp; O199 &amp;" ,"&amp; IF(Q199="ja","'1'",IF(Q199="nein","'0'","'"&amp;Q199&amp;"'")) &amp;","&amp;IF(P199="enthält",349,IF(P199="nicht leer",352,IF(P199="enthält nicht",350,IF(P199="leer",351,0)))) &amp;" ,NULL ,GetDate() ,'scrc' ,GetDate() ,'scrc')")</f>
        <v/>
      </c>
      <c r="AK199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0" spans="1:37" x14ac:dyDescent="0.25">
      <c r="A200" s="36"/>
      <c r="B200" s="36"/>
      <c r="C200" s="64"/>
      <c r="D200" s="64"/>
      <c r="E200" s="63"/>
      <c r="F200" s="64"/>
      <c r="G200" s="60"/>
      <c r="H200" s="60"/>
      <c r="I200" s="64"/>
      <c r="J200" s="64"/>
      <c r="K200" s="64"/>
      <c r="L200" s="64"/>
      <c r="M200" s="63"/>
      <c r="N200" s="63"/>
      <c r="O200" s="63"/>
      <c r="P200" s="63"/>
      <c r="Q200" s="64"/>
      <c r="R200" s="63"/>
      <c r="S200" s="63"/>
      <c r="T200" s="65"/>
      <c r="U200" s="65"/>
      <c r="W200" s="42" t="e">
        <f>VLOOKUP($I200,'AnmeldeVSS-Attribute'!$A$2:$H$16,2,FALSE)</f>
        <v>#N/A</v>
      </c>
      <c r="X200" s="42" t="e">
        <f>VLOOKUP($I200,'AnmeldeVSS-Attribute'!$A$2:$H$16,3,FALSE)</f>
        <v>#N/A</v>
      </c>
      <c r="Y200" s="42" t="e">
        <f>VLOOKUP($I200,'AnmeldeVSS-Attribute'!$A$2:$H$16,4,FALSE)</f>
        <v>#N/A</v>
      </c>
      <c r="Z200" s="42" t="e">
        <f>VLOOKUP($I200,'AnmeldeVSS-Attribute'!$A$2:$H$16,5,FALSE)</f>
        <v>#N/A</v>
      </c>
      <c r="AA200" s="42" t="e">
        <f>VLOOKUP($I200,'AnmeldeVSS-Attribute'!$A$2:$H$16,6,FALSE)</f>
        <v>#N/A</v>
      </c>
      <c r="AB200" s="42" t="e">
        <f>VLOOKUP($I200,'AnmeldeVSS-Attribute'!$A$2:$H$16,7,FALSE)</f>
        <v>#N/A</v>
      </c>
      <c r="AC200" s="42" t="e">
        <f>IF(I200="Geldbetrag",J200,(IF(T200="",VLOOKUP($I200,'AnmeldeVSS-Attribute'!$A$2:$H$16,8,FALSE),T200)))</f>
        <v>#N/A</v>
      </c>
      <c r="AD200" s="42">
        <f>IF(S200="",0,VLOOKUP(S200,'AnmeldeVSS-Attribute'!$A$20:$B$26,2,FALSE))</f>
        <v>0</v>
      </c>
      <c r="AE200" s="42" t="e">
        <f t="shared" si="23"/>
        <v>#N/A</v>
      </c>
      <c r="AF200" s="42" t="str">
        <f t="shared" si="19"/>
        <v/>
      </c>
      <c r="AG200" s="42" t="str">
        <f t="shared" si="24"/>
        <v/>
      </c>
      <c r="AH200" s="47" t="str">
        <f t="shared" si="20"/>
        <v/>
      </c>
      <c r="AI200" s="47" t="str">
        <f t="shared" si="21"/>
        <v/>
      </c>
      <c r="AJ200" s="42" t="str">
        <f>IF(O200="",(IF(P200="Ansicht","INSERT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B200 &amp;" ,NULL ,'',349,"&amp; VLOOKUP(Q200,'AnmeldeVSS-Attribute'!$A$43:$B$50,2,FALSE)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B200 &amp;" ,"&amp; O200 &amp;" ,"&amp; IF(Q200="ja","'1'",IF(Q200="nein","'0'","'"&amp;Q200&amp;"'")) &amp;","&amp;IF(P200="enthält",349,IF(P200="nicht leer",352,IF(P200="enthält nicht",350,IF(P200="leer",351,0)))) &amp;" ,NULL ,GetDate() ,'scrc' ,GetDate() ,'scrc')")</f>
        <v/>
      </c>
      <c r="AK200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1" spans="1:37" x14ac:dyDescent="0.25">
      <c r="A201" s="36"/>
      <c r="B201" s="36"/>
      <c r="C201" s="64"/>
      <c r="D201" s="64"/>
      <c r="E201" s="63"/>
      <c r="F201" s="64"/>
      <c r="G201" s="60"/>
      <c r="H201" s="60"/>
      <c r="I201" s="64"/>
      <c r="J201" s="64"/>
      <c r="K201" s="64"/>
      <c r="L201" s="64"/>
      <c r="M201" s="63"/>
      <c r="N201" s="63"/>
      <c r="O201" s="63"/>
      <c r="P201" s="63"/>
      <c r="Q201" s="64"/>
      <c r="R201" s="63"/>
      <c r="S201" s="63"/>
      <c r="T201" s="65"/>
      <c r="U201" s="65"/>
      <c r="W201" s="42" t="e">
        <f>VLOOKUP($I201,'AnmeldeVSS-Attribute'!$A$2:$H$16,2,FALSE)</f>
        <v>#N/A</v>
      </c>
      <c r="X201" s="42" t="e">
        <f>VLOOKUP($I201,'AnmeldeVSS-Attribute'!$A$2:$H$16,3,FALSE)</f>
        <v>#N/A</v>
      </c>
      <c r="Y201" s="42" t="e">
        <f>VLOOKUP($I201,'AnmeldeVSS-Attribute'!$A$2:$H$16,4,FALSE)</f>
        <v>#N/A</v>
      </c>
      <c r="Z201" s="42" t="e">
        <f>VLOOKUP($I201,'AnmeldeVSS-Attribute'!$A$2:$H$16,5,FALSE)</f>
        <v>#N/A</v>
      </c>
      <c r="AA201" s="42" t="e">
        <f>VLOOKUP($I201,'AnmeldeVSS-Attribute'!$A$2:$H$16,6,FALSE)</f>
        <v>#N/A</v>
      </c>
      <c r="AB201" s="42" t="e">
        <f>VLOOKUP($I201,'AnmeldeVSS-Attribute'!$A$2:$H$16,7,FALSE)</f>
        <v>#N/A</v>
      </c>
      <c r="AC201" s="42" t="e">
        <f>IF(I201="Geldbetrag",J201,(IF(T201="",VLOOKUP($I201,'AnmeldeVSS-Attribute'!$A$2:$H$16,8,FALSE),T201)))</f>
        <v>#N/A</v>
      </c>
      <c r="AD201" s="42">
        <f>IF(S201="",0,VLOOKUP(S201,'AnmeldeVSS-Attribute'!$A$20:$B$26,2,FALSE))</f>
        <v>0</v>
      </c>
      <c r="AE201" s="42" t="e">
        <f t="shared" si="23"/>
        <v>#N/A</v>
      </c>
      <c r="AF201" s="42" t="str">
        <f t="shared" si="19"/>
        <v/>
      </c>
      <c r="AG201" s="42" t="str">
        <f t="shared" si="24"/>
        <v/>
      </c>
      <c r="AH201" s="47" t="str">
        <f t="shared" si="20"/>
        <v/>
      </c>
      <c r="AI201" s="47" t="str">
        <f t="shared" si="21"/>
        <v/>
      </c>
      <c r="AJ201" s="42" t="str">
        <f>IF(O201="",(IF(P201="Ansicht","INSERT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B201 &amp;" ,NULL ,'',349,"&amp; VLOOKUP(Q201,'AnmeldeVSS-Attribute'!$A$43:$B$50,2,FALSE)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B201 &amp;" ,"&amp; O201 &amp;" ,"&amp; IF(Q201="ja","'1'",IF(Q201="nein","'0'","'"&amp;Q201&amp;"'")) &amp;","&amp;IF(P201="enthält",349,IF(P201="nicht leer",352,IF(P201="enthält nicht",350,IF(P201="leer",351,0)))) &amp;" ,NULL ,GetDate() ,'scrc' ,GetDate() ,'scrc')")</f>
        <v/>
      </c>
      <c r="AK201" s="48" t="str">
        <f t="shared" si="2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2" spans="1:37" x14ac:dyDescent="0.25">
      <c r="A202" s="71"/>
      <c r="B202" s="71"/>
      <c r="C202" s="71"/>
      <c r="D202" s="71"/>
      <c r="E202" s="66"/>
      <c r="F202" s="71"/>
      <c r="G202" s="71"/>
      <c r="H202" s="71"/>
      <c r="I202" s="71"/>
      <c r="J202" s="71"/>
      <c r="K202" s="71"/>
      <c r="L202" s="71"/>
      <c r="M202" s="70"/>
      <c r="N202" s="70"/>
      <c r="O202" s="70"/>
      <c r="P202" s="70"/>
      <c r="Q202" s="71"/>
      <c r="R202" s="70"/>
      <c r="S202" s="70"/>
      <c r="T202" s="65"/>
      <c r="U202" s="65"/>
      <c r="V202" s="42"/>
      <c r="W202" s="42" t="e">
        <f>VLOOKUP($I202,'AnmeldeVSS-Attribute'!$A$2:$H$16,2,FALSE)</f>
        <v>#N/A</v>
      </c>
      <c r="X202" s="42" t="e">
        <f>VLOOKUP($I202,'AnmeldeVSS-Attribute'!$A$2:$H$16,3,FALSE)</f>
        <v>#N/A</v>
      </c>
      <c r="Y202" s="42" t="e">
        <f>VLOOKUP($I202,'AnmeldeVSS-Attribute'!$A$2:$H$16,4,FALSE)</f>
        <v>#N/A</v>
      </c>
      <c r="Z202" s="42" t="e">
        <f>VLOOKUP($I202,'AnmeldeVSS-Attribute'!$A$2:$H$16,5,FALSE)</f>
        <v>#N/A</v>
      </c>
      <c r="AA202" s="42" t="e">
        <f>VLOOKUP($I202,'AnmeldeVSS-Attribute'!$A$2:$H$16,6,FALSE)</f>
        <v>#N/A</v>
      </c>
      <c r="AB202" s="42" t="e">
        <f>VLOOKUP($I202,'AnmeldeVSS-Attribute'!$A$2:$H$16,7,FALSE)</f>
        <v>#N/A</v>
      </c>
      <c r="AC202" s="42" t="e">
        <f>IF(I202="Geldbetrag",J202,(IF(T202="",VLOOKUP($I202,'AnmeldeVSS-Attribute'!$A$2:$H$16,8,FALSE),T202)))</f>
        <v>#N/A</v>
      </c>
      <c r="AD202" s="42">
        <f>IF(S202="",0,VLOOKUP(S202,'AnmeldeVSS-Attribute'!$A$20:$B$26,2,FALSE))</f>
        <v>0</v>
      </c>
      <c r="AE202" s="42" t="e">
        <f t="shared" si="23"/>
        <v>#N/A</v>
      </c>
      <c r="AF202" s="42" t="str">
        <f t="shared" ref="AF202:AF257" si="25">IF(B202&lt;100000,"",AE202)</f>
        <v/>
      </c>
      <c r="AG202" s="42" t="str">
        <f t="shared" si="24"/>
        <v/>
      </c>
      <c r="AH202" s="47" t="str">
        <f t="shared" ref="AH202:AH257" si="26">IF(AF202="","",IF(J202="","",IF(I202="LookupField",AK202,"")))</f>
        <v/>
      </c>
      <c r="AI202" s="47" t="str">
        <f t="shared" ref="AI202:AI248" si="27">IF(D202&lt;&gt;"","update tblAnmeldeVSSLanguage set AnmeldeVSSBezeichnung = '" &amp; D202 &amp;"', AnmeldeVSSBezeichnungToDo = 0 " &amp;IF(H202&lt;&gt;"",", AnmeldeVSSTooltip = '"&amp; H202 &amp;"', AnmeldeVSSTooltipToDo = 0 ","") &amp; "where IDAnlass = "&amp; IDAnlass &amp;" and IDAnmeldeVSS = "&amp; B202,"")</f>
        <v/>
      </c>
      <c r="AJ202" s="42" t="str">
        <f>IF(O202="",(IF(P202="Ansicht","INSERT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B202 &amp;" ,NULL ,'',349,"&amp; VLOOKUP(Q202,'AnmeldeVSS-Attribute'!$A$43:$B$50,2,FALSE)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B202 &amp;" ,"&amp; O202 &amp;" ,"&amp; IF(Q202="ja","'1'",IF(Q202="nein","'0'","'"&amp;Q202&amp;"'")) &amp;","&amp;IF(P202="enthält",349,IF(P202="nicht leer",352,IF(P202="enthält nicht",350,IF(P202="leer",351,0)))) &amp;" ,NULL ,GetDate() ,'scrc' ,GetDate() ,'scrc')")</f>
        <v/>
      </c>
      <c r="AK202" s="48" t="str">
        <f t="shared" ref="AK202:AK273" si="28">CONCATENATE("update tblAnmeldeVSS set AnmeldeVSSOTUseLegacyRowSource = 1, AnmeldeVssOTUseLegacyValueCalculation = 1, AnmeldeVSSRowSource='","Select ''",SUBSTITUTE(J202,",","'' where @kontextidlanguage = 1 union select ''"),"'' where @kontextidlanguage = 1 ","union select ''",SUBSTITUTE(K202,",","'' where @kontextidlanguage = 133 union select ''"),"'' where @kontextidlanguage = 133'"," where IDAnmeldeVSS ="&amp;B202&amp;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3" spans="1:37" x14ac:dyDescent="0.25">
      <c r="A203" s="68"/>
      <c r="B203" s="68"/>
      <c r="C203" s="68"/>
      <c r="D203" s="68"/>
      <c r="E203" s="66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5"/>
      <c r="U203" s="65"/>
      <c r="W203" s="42" t="e">
        <f>VLOOKUP($I203,'AnmeldeVSS-Attribute'!$A$2:$H$16,2,FALSE)</f>
        <v>#N/A</v>
      </c>
      <c r="X203" s="42" t="e">
        <f>VLOOKUP($I203,'AnmeldeVSS-Attribute'!$A$2:$H$16,3,FALSE)</f>
        <v>#N/A</v>
      </c>
      <c r="Y203" s="42" t="e">
        <f>VLOOKUP($I203,'AnmeldeVSS-Attribute'!$A$2:$H$16,4,FALSE)</f>
        <v>#N/A</v>
      </c>
      <c r="Z203" s="42" t="e">
        <f>VLOOKUP($I203,'AnmeldeVSS-Attribute'!$A$2:$H$16,5,FALSE)</f>
        <v>#N/A</v>
      </c>
      <c r="AA203" s="42" t="e">
        <f>VLOOKUP($I203,'AnmeldeVSS-Attribute'!$A$2:$H$16,6,FALSE)</f>
        <v>#N/A</v>
      </c>
      <c r="AB203" s="42" t="e">
        <f>VLOOKUP($I203,'AnmeldeVSS-Attribute'!$A$2:$H$16,7,FALSE)</f>
        <v>#N/A</v>
      </c>
      <c r="AC203" s="42" t="e">
        <f>IF(I203="Geldbetrag",J203,(IF(T203="",VLOOKUP($I203,'AnmeldeVSS-Attribute'!$A$2:$H$16,8,FALSE),T203)))</f>
        <v>#N/A</v>
      </c>
      <c r="AD203" s="42">
        <f>IF(S203="",0,VLOOKUP(S203,'AnmeldeVSS-Attribute'!$A$20:$B$26,2,FALSE))</f>
        <v>0</v>
      </c>
      <c r="AE203" s="42" t="e">
        <f t="shared" si="23"/>
        <v>#N/A</v>
      </c>
      <c r="AF203" s="42" t="str">
        <f t="shared" si="25"/>
        <v/>
      </c>
      <c r="AG203" s="42" t="str">
        <f t="shared" si="24"/>
        <v/>
      </c>
      <c r="AH203" s="47" t="str">
        <f t="shared" si="26"/>
        <v/>
      </c>
      <c r="AI203" s="47" t="str">
        <f t="shared" si="27"/>
        <v/>
      </c>
      <c r="AJ203" s="42" t="str">
        <f>IF(O203="",(IF(P203="Ansicht","INSERT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B203 &amp;" ,NULL ,'',349,"&amp; VLOOKUP(Q203,'AnmeldeVSS-Attribute'!$A$43:$B$50,2,FALSE)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B203 &amp;" ,"&amp; O203 &amp;" ,"&amp; IF(Q203="ja","'1'",IF(Q203="nein","'0'","'"&amp;Q203&amp;"'")) &amp;","&amp;IF(P203="enthält",349,IF(P203="nicht leer",352,IF(P203="enthält nicht",350,IF(P203="leer",351,0)))) &amp;" ,NULL ,GetDate() ,'scrc' ,GetDate() ,'scrc')")</f>
        <v/>
      </c>
      <c r="AK203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4" spans="1:37" x14ac:dyDescent="0.25">
      <c r="A204" s="68"/>
      <c r="B204" s="68"/>
      <c r="C204" s="68"/>
      <c r="D204" s="68"/>
      <c r="E204" s="66"/>
      <c r="F204" s="68"/>
      <c r="G204" s="68"/>
      <c r="H204" s="68"/>
      <c r="I204" s="68"/>
      <c r="J204" s="68"/>
      <c r="K204" s="68"/>
      <c r="L204" s="68"/>
      <c r="M204" s="68"/>
      <c r="N204" s="66"/>
      <c r="O204" s="68"/>
      <c r="P204" s="68"/>
      <c r="Q204" s="68"/>
      <c r="R204" s="68"/>
      <c r="S204" s="68"/>
      <c r="T204" s="65"/>
      <c r="U204" s="65"/>
      <c r="V204" s="42"/>
      <c r="W204" s="42" t="e">
        <f>VLOOKUP($I204,'AnmeldeVSS-Attribute'!$A$2:$H$16,2,FALSE)</f>
        <v>#N/A</v>
      </c>
      <c r="X204" s="42" t="e">
        <f>VLOOKUP($I204,'AnmeldeVSS-Attribute'!$A$2:$H$16,3,FALSE)</f>
        <v>#N/A</v>
      </c>
      <c r="Y204" s="42" t="e">
        <f>VLOOKUP($I204,'AnmeldeVSS-Attribute'!$A$2:$H$16,4,FALSE)</f>
        <v>#N/A</v>
      </c>
      <c r="Z204" s="42" t="e">
        <f>VLOOKUP($I204,'AnmeldeVSS-Attribute'!$A$2:$H$16,5,FALSE)</f>
        <v>#N/A</v>
      </c>
      <c r="AA204" s="42" t="e">
        <f>VLOOKUP($I204,'AnmeldeVSS-Attribute'!$A$2:$H$16,6,FALSE)</f>
        <v>#N/A</v>
      </c>
      <c r="AB204" s="42" t="e">
        <f>VLOOKUP($I204,'AnmeldeVSS-Attribute'!$A$2:$H$16,7,FALSE)</f>
        <v>#N/A</v>
      </c>
      <c r="AC204" s="42" t="e">
        <f>IF(I204="Geldbetrag",J204,(IF(T204="",VLOOKUP($I204,'AnmeldeVSS-Attribute'!$A$2:$H$16,8,FALSE),T204)))</f>
        <v>#N/A</v>
      </c>
      <c r="AD204" s="42">
        <f>IF(S204="",0,VLOOKUP(S204,'AnmeldeVSS-Attribute'!$A$20:$B$26,2,FALSE))</f>
        <v>0</v>
      </c>
      <c r="AE204" s="42" t="e">
        <f t="shared" si="23"/>
        <v>#N/A</v>
      </c>
      <c r="AF204" s="42" t="str">
        <f t="shared" si="25"/>
        <v/>
      </c>
      <c r="AG204" s="42" t="str">
        <f t="shared" si="24"/>
        <v/>
      </c>
      <c r="AH204" s="47" t="str">
        <f t="shared" si="26"/>
        <v/>
      </c>
      <c r="AI204" s="47" t="str">
        <f t="shared" si="27"/>
        <v/>
      </c>
      <c r="AJ204" s="42" t="str">
        <f>IF(O204="",(IF(P204="Ansicht","INSERT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B204 &amp;" ,NULL ,'',349,"&amp; VLOOKUP(Q204,'AnmeldeVSS-Attribute'!$A$43:$B$50,2,FALSE)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B204 &amp;" ,"&amp; O204 &amp;" ,"&amp; IF(Q204="ja","'1'",IF(Q204="nein","'0'","'"&amp;Q204&amp;"'")) &amp;","&amp;IF(P204="enthält",349,IF(P204="nicht leer",352,IF(P204="enthält nicht",350,IF(P204="leer",351,0)))) &amp;" ,NULL ,GetDate() ,'scrc' ,GetDate() ,'scrc')")</f>
        <v/>
      </c>
      <c r="AK204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5" spans="1:37" ht="16.5" x14ac:dyDescent="0.25">
      <c r="A205" s="66"/>
      <c r="B205" s="66"/>
      <c r="C205" s="50"/>
      <c r="D205" s="50"/>
      <c r="E205" s="66"/>
      <c r="F205" s="68"/>
      <c r="G205" s="68"/>
      <c r="H205" s="68"/>
      <c r="I205" s="68"/>
      <c r="J205" s="68"/>
      <c r="K205" s="68"/>
      <c r="L205" s="68"/>
      <c r="M205" s="66"/>
      <c r="N205" s="66"/>
      <c r="O205" s="66"/>
      <c r="P205" s="66"/>
      <c r="Q205" s="68"/>
      <c r="R205" s="66"/>
      <c r="S205" s="66"/>
      <c r="T205" s="65"/>
      <c r="U205" s="65"/>
      <c r="V205" s="42"/>
      <c r="W205" s="42" t="e">
        <f>VLOOKUP($I205,'AnmeldeVSS-Attribute'!$A$2:$H$16,2,FALSE)</f>
        <v>#N/A</v>
      </c>
      <c r="X205" s="42" t="e">
        <f>VLOOKUP($I205,'AnmeldeVSS-Attribute'!$A$2:$H$16,3,FALSE)</f>
        <v>#N/A</v>
      </c>
      <c r="Y205" s="42" t="e">
        <f>VLOOKUP($I205,'AnmeldeVSS-Attribute'!$A$2:$H$16,4,FALSE)</f>
        <v>#N/A</v>
      </c>
      <c r="Z205" s="42" t="e">
        <f>VLOOKUP($I205,'AnmeldeVSS-Attribute'!$A$2:$H$16,5,FALSE)</f>
        <v>#N/A</v>
      </c>
      <c r="AA205" s="42" t="e">
        <f>VLOOKUP($I205,'AnmeldeVSS-Attribute'!$A$2:$H$16,6,FALSE)</f>
        <v>#N/A</v>
      </c>
      <c r="AB205" s="42" t="e">
        <f>VLOOKUP($I205,'AnmeldeVSS-Attribute'!$A$2:$H$16,7,FALSE)</f>
        <v>#N/A</v>
      </c>
      <c r="AC205" s="42" t="e">
        <f>IF(I205="Geldbetrag",J205,(IF(T205="",VLOOKUP($I205,'AnmeldeVSS-Attribute'!$A$2:$H$16,8,FALSE),T205)))</f>
        <v>#N/A</v>
      </c>
      <c r="AD205" s="42">
        <f>IF(S205="",0,VLOOKUP(S205,'AnmeldeVSS-Attribute'!$A$20:$B$26,2,FALSE))</f>
        <v>0</v>
      </c>
      <c r="AE205" s="42" t="e">
        <f t="shared" si="23"/>
        <v>#N/A</v>
      </c>
      <c r="AF205" s="42" t="str">
        <f t="shared" si="25"/>
        <v/>
      </c>
      <c r="AG205" s="42" t="str">
        <f t="shared" si="24"/>
        <v/>
      </c>
      <c r="AH205" s="47" t="str">
        <f t="shared" si="26"/>
        <v/>
      </c>
      <c r="AI205" s="47" t="str">
        <f t="shared" si="27"/>
        <v/>
      </c>
      <c r="AJ205" s="42" t="str">
        <f>IF(O205="",(IF(P205="Ansicht","INSERT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B205 &amp;" ,NULL ,'',349,"&amp; VLOOKUP(Q205,'AnmeldeVSS-Attribute'!$A$43:$B$50,2,FALSE)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B205 &amp;" ,"&amp; O205 &amp;" ,"&amp; IF(Q205="ja","'1'",IF(Q205="nein","'0'","'"&amp;Q205&amp;"'")) &amp;","&amp;IF(P205="enthält",349,IF(P205="nicht leer",352,IF(P205="enthält nicht",350,IF(P205="leer",351,0)))) &amp;" ,NULL ,GetDate() ,'scrc' ,GetDate() ,'scrc')")</f>
        <v/>
      </c>
      <c r="AK205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6" spans="1:37" x14ac:dyDescent="0.25">
      <c r="A206" s="66"/>
      <c r="B206" s="66"/>
      <c r="C206" s="57"/>
      <c r="D206" s="57"/>
      <c r="E206" s="66"/>
      <c r="F206" s="68"/>
      <c r="G206" s="68"/>
      <c r="H206" s="68"/>
      <c r="I206" s="68"/>
      <c r="J206" s="68"/>
      <c r="K206" s="68"/>
      <c r="L206" s="68"/>
      <c r="M206" s="66"/>
      <c r="N206" s="66"/>
      <c r="O206" s="66"/>
      <c r="P206" s="66"/>
      <c r="Q206" s="68"/>
      <c r="R206" s="66"/>
      <c r="S206" s="66"/>
      <c r="T206" s="65"/>
      <c r="U206" s="65"/>
      <c r="W206" s="42" t="e">
        <f>VLOOKUP($I206,'AnmeldeVSS-Attribute'!$A$2:$H$16,2,FALSE)</f>
        <v>#N/A</v>
      </c>
      <c r="X206" s="42" t="e">
        <f>VLOOKUP($I206,'AnmeldeVSS-Attribute'!$A$2:$H$16,3,FALSE)</f>
        <v>#N/A</v>
      </c>
      <c r="Y206" s="42" t="e">
        <f>VLOOKUP($I206,'AnmeldeVSS-Attribute'!$A$2:$H$16,4,FALSE)</f>
        <v>#N/A</v>
      </c>
      <c r="Z206" s="42" t="e">
        <f>VLOOKUP($I206,'AnmeldeVSS-Attribute'!$A$2:$H$16,5,FALSE)</f>
        <v>#N/A</v>
      </c>
      <c r="AA206" s="42" t="e">
        <f>VLOOKUP($I206,'AnmeldeVSS-Attribute'!$A$2:$H$16,6,FALSE)</f>
        <v>#N/A</v>
      </c>
      <c r="AB206" s="42" t="e">
        <f>VLOOKUP($I206,'AnmeldeVSS-Attribute'!$A$2:$H$16,7,FALSE)</f>
        <v>#N/A</v>
      </c>
      <c r="AC206" s="42" t="e">
        <f>IF(I206="Geldbetrag",J206,(IF(T206="",VLOOKUP($I206,'AnmeldeVSS-Attribute'!$A$2:$H$16,8,FALSE),T206)))</f>
        <v>#N/A</v>
      </c>
      <c r="AD206" s="42">
        <f>IF(S206="",0,VLOOKUP(S206,'AnmeldeVSS-Attribute'!$A$20:$B$26,2,FALSE))</f>
        <v>0</v>
      </c>
      <c r="AE206" s="42" t="e">
        <f t="shared" si="23"/>
        <v>#N/A</v>
      </c>
      <c r="AF206" s="42" t="str">
        <f t="shared" si="25"/>
        <v/>
      </c>
      <c r="AG206" s="42" t="str">
        <f t="shared" si="24"/>
        <v/>
      </c>
      <c r="AH206" s="47" t="str">
        <f t="shared" si="26"/>
        <v/>
      </c>
      <c r="AI206" s="47" t="str">
        <f t="shared" si="27"/>
        <v/>
      </c>
      <c r="AJ206" s="42" t="str">
        <f>IF(O206="",(IF(P206="Ansicht","INSERT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B206 &amp;" ,NULL ,'',349,"&amp; VLOOKUP(Q206,'AnmeldeVSS-Attribute'!$A$43:$B$50,2,FALSE)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B206 &amp;" ,"&amp; O206 &amp;" ,"&amp; IF(Q206="ja","'1'",IF(Q206="nein","'0'","'"&amp;Q206&amp;"'")) &amp;","&amp;IF(P206="enthält",349,IF(P206="nicht leer",352,IF(P206="enthält nicht",350,IF(P206="leer",351,0)))) &amp;" ,NULL ,GetDate() ,'scrc' ,GetDate() ,'scrc')")</f>
        <v/>
      </c>
      <c r="AK206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7" spans="1:37" x14ac:dyDescent="0.25">
      <c r="A207" s="66"/>
      <c r="B207" s="66"/>
      <c r="C207" s="57"/>
      <c r="D207" s="57"/>
      <c r="E207" s="66"/>
      <c r="F207" s="68"/>
      <c r="G207" s="68"/>
      <c r="H207" s="68"/>
      <c r="I207" s="68"/>
      <c r="J207" s="68"/>
      <c r="K207" s="68"/>
      <c r="L207" s="68"/>
      <c r="M207" s="66"/>
      <c r="N207" s="66"/>
      <c r="O207" s="66"/>
      <c r="P207" s="66"/>
      <c r="Q207" s="68"/>
      <c r="R207" s="66"/>
      <c r="S207" s="66"/>
      <c r="T207" s="65"/>
      <c r="U207" s="65"/>
      <c r="W207" s="42" t="e">
        <f>VLOOKUP($I207,'AnmeldeVSS-Attribute'!$A$2:$H$16,2,FALSE)</f>
        <v>#N/A</v>
      </c>
      <c r="X207" s="42" t="e">
        <f>VLOOKUP($I207,'AnmeldeVSS-Attribute'!$A$2:$H$16,3,FALSE)</f>
        <v>#N/A</v>
      </c>
      <c r="Y207" s="42" t="e">
        <f>VLOOKUP($I207,'AnmeldeVSS-Attribute'!$A$2:$H$16,4,FALSE)</f>
        <v>#N/A</v>
      </c>
      <c r="Z207" s="42" t="e">
        <f>VLOOKUP($I207,'AnmeldeVSS-Attribute'!$A$2:$H$16,5,FALSE)</f>
        <v>#N/A</v>
      </c>
      <c r="AA207" s="42" t="e">
        <f>VLOOKUP($I207,'AnmeldeVSS-Attribute'!$A$2:$H$16,6,FALSE)</f>
        <v>#N/A</v>
      </c>
      <c r="AB207" s="42" t="e">
        <f>VLOOKUP($I207,'AnmeldeVSS-Attribute'!$A$2:$H$16,7,FALSE)</f>
        <v>#N/A</v>
      </c>
      <c r="AC207" s="42" t="e">
        <f>IF(I207="Geldbetrag",J207,(IF(T207="",VLOOKUP($I207,'AnmeldeVSS-Attribute'!$A$2:$H$16,8,FALSE),T207)))</f>
        <v>#N/A</v>
      </c>
      <c r="AD207" s="42">
        <f>IF(S207="",0,VLOOKUP(S207,'AnmeldeVSS-Attribute'!$A$20:$B$26,2,FALSE))</f>
        <v>0</v>
      </c>
      <c r="AE207" s="42" t="e">
        <f t="shared" si="23"/>
        <v>#N/A</v>
      </c>
      <c r="AF207" s="42" t="str">
        <f t="shared" si="25"/>
        <v/>
      </c>
      <c r="AG207" s="42" t="str">
        <f t="shared" si="24"/>
        <v/>
      </c>
      <c r="AH207" s="47" t="str">
        <f t="shared" si="26"/>
        <v/>
      </c>
      <c r="AI207" s="47" t="str">
        <f t="shared" si="27"/>
        <v/>
      </c>
      <c r="AJ207" s="42" t="str">
        <f>IF(O207="",(IF(P207="Ansicht","INSERT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B207 &amp;" ,NULL ,'',349,"&amp; VLOOKUP(Q207,'AnmeldeVSS-Attribute'!$A$43:$B$50,2,FALSE)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B207 &amp;" ,"&amp; O207 &amp;" ,"&amp; IF(Q207="ja","'1'",IF(Q207="nein","'0'","'"&amp;Q207&amp;"'")) &amp;","&amp;IF(P207="enthält",349,IF(P207="nicht leer",352,IF(P207="enthält nicht",350,IF(P207="leer",351,0)))) &amp;" ,NULL ,GetDate() ,'scrc' ,GetDate() ,'scrc')")</f>
        <v/>
      </c>
      <c r="AK207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8" spans="1:37" x14ac:dyDescent="0.25">
      <c r="A208" s="66"/>
      <c r="B208" s="66"/>
      <c r="C208" s="68"/>
      <c r="D208" s="68"/>
      <c r="E208" s="66"/>
      <c r="F208" s="68"/>
      <c r="G208" s="68"/>
      <c r="H208" s="68"/>
      <c r="I208" s="68"/>
      <c r="J208" s="68"/>
      <c r="K208" s="68"/>
      <c r="L208" s="68"/>
      <c r="M208" s="66"/>
      <c r="N208" s="66"/>
      <c r="O208" s="66"/>
      <c r="P208" s="66"/>
      <c r="Q208" s="68"/>
      <c r="R208" s="66"/>
      <c r="S208" s="66"/>
      <c r="T208" s="65"/>
      <c r="U208" s="65"/>
      <c r="W208" s="42" t="e">
        <f>VLOOKUP($I208,'AnmeldeVSS-Attribute'!$A$2:$H$16,2,FALSE)</f>
        <v>#N/A</v>
      </c>
      <c r="X208" s="42" t="e">
        <f>VLOOKUP($I208,'AnmeldeVSS-Attribute'!$A$2:$H$16,3,FALSE)</f>
        <v>#N/A</v>
      </c>
      <c r="Y208" s="42" t="e">
        <f>VLOOKUP($I208,'AnmeldeVSS-Attribute'!$A$2:$H$16,4,FALSE)</f>
        <v>#N/A</v>
      </c>
      <c r="Z208" s="42" t="e">
        <f>VLOOKUP($I208,'AnmeldeVSS-Attribute'!$A$2:$H$16,5,FALSE)</f>
        <v>#N/A</v>
      </c>
      <c r="AA208" s="42" t="e">
        <f>VLOOKUP($I208,'AnmeldeVSS-Attribute'!$A$2:$H$16,6,FALSE)</f>
        <v>#N/A</v>
      </c>
      <c r="AB208" s="42" t="e">
        <f>VLOOKUP($I208,'AnmeldeVSS-Attribute'!$A$2:$H$16,7,FALSE)</f>
        <v>#N/A</v>
      </c>
      <c r="AC208" s="42" t="e">
        <f>IF(I208="Geldbetrag",J208,(IF(T208="",VLOOKUP($I208,'AnmeldeVSS-Attribute'!$A$2:$H$16,8,FALSE),T208)))</f>
        <v>#N/A</v>
      </c>
      <c r="AD208" s="42">
        <f>IF(S208="",0,VLOOKUP(S208,'AnmeldeVSS-Attribute'!$A$20:$B$26,2,FALSE))</f>
        <v>0</v>
      </c>
      <c r="AE208" s="42" t="e">
        <f t="shared" si="23"/>
        <v>#N/A</v>
      </c>
      <c r="AF208" s="42" t="str">
        <f t="shared" si="25"/>
        <v/>
      </c>
      <c r="AG208" s="42" t="str">
        <f t="shared" si="24"/>
        <v/>
      </c>
      <c r="AH208" s="47" t="str">
        <f t="shared" si="26"/>
        <v/>
      </c>
      <c r="AI208" s="47" t="str">
        <f t="shared" si="27"/>
        <v/>
      </c>
      <c r="AJ208" s="42" t="str">
        <f>IF(O208="",(IF(P208="Ansicht","INSERT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B208 &amp;" ,NULL ,'',349,"&amp; VLOOKUP(Q208,'AnmeldeVSS-Attribute'!$A$43:$B$50,2,FALSE)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B208 &amp;" ,"&amp; O208 &amp;" ,"&amp; IF(Q208="ja","'1'",IF(Q208="nein","'0'","'"&amp;Q208&amp;"'")) &amp;","&amp;IF(P208="enthält",349,IF(P208="nicht leer",352,IF(P208="enthält nicht",350,IF(P208="leer",351,0)))) &amp;" ,NULL ,GetDate() ,'scrc' ,GetDate() ,'scrc')")</f>
        <v/>
      </c>
      <c r="AK208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09" spans="1:37" x14ac:dyDescent="0.25">
      <c r="A209" s="66"/>
      <c r="B209" s="66"/>
      <c r="C209" s="68"/>
      <c r="D209" s="68"/>
      <c r="E209" s="66"/>
      <c r="F209" s="68"/>
      <c r="G209" s="68"/>
      <c r="H209" s="68"/>
      <c r="I209" s="68"/>
      <c r="J209" s="64"/>
      <c r="K209" s="64"/>
      <c r="L209" s="68"/>
      <c r="M209" s="66"/>
      <c r="N209" s="66"/>
      <c r="O209" s="66"/>
      <c r="P209" s="66"/>
      <c r="Q209" s="68"/>
      <c r="R209" s="66"/>
      <c r="S209" s="66"/>
      <c r="T209" s="65"/>
      <c r="U209" s="65"/>
      <c r="W209" s="42" t="e">
        <f>VLOOKUP($I209,'AnmeldeVSS-Attribute'!$A$2:$H$16,2,FALSE)</f>
        <v>#N/A</v>
      </c>
      <c r="X209" s="42" t="e">
        <f>VLOOKUP($I209,'AnmeldeVSS-Attribute'!$A$2:$H$16,3,FALSE)</f>
        <v>#N/A</v>
      </c>
      <c r="Y209" s="42" t="e">
        <f>VLOOKUP($I209,'AnmeldeVSS-Attribute'!$A$2:$H$16,4,FALSE)</f>
        <v>#N/A</v>
      </c>
      <c r="Z209" s="42" t="e">
        <f>VLOOKUP($I209,'AnmeldeVSS-Attribute'!$A$2:$H$16,5,FALSE)</f>
        <v>#N/A</v>
      </c>
      <c r="AA209" s="42" t="e">
        <f>VLOOKUP($I209,'AnmeldeVSS-Attribute'!$A$2:$H$16,6,FALSE)</f>
        <v>#N/A</v>
      </c>
      <c r="AB209" s="42" t="e">
        <f>VLOOKUP($I209,'AnmeldeVSS-Attribute'!$A$2:$H$16,7,FALSE)</f>
        <v>#N/A</v>
      </c>
      <c r="AC209" s="42" t="e">
        <f>IF(I209="Geldbetrag",J209,(IF(T209="",VLOOKUP($I209,'AnmeldeVSS-Attribute'!$A$2:$H$16,8,FALSE),T209)))</f>
        <v>#N/A</v>
      </c>
      <c r="AD209" s="42">
        <f>IF(S209="",0,VLOOKUP(S209,'AnmeldeVSS-Attribute'!$A$20:$B$26,2,FALSE))</f>
        <v>0</v>
      </c>
      <c r="AE209" s="42" t="e">
        <f t="shared" si="23"/>
        <v>#N/A</v>
      </c>
      <c r="AF209" s="42" t="str">
        <f t="shared" si="25"/>
        <v/>
      </c>
      <c r="AG209" s="42" t="str">
        <f t="shared" si="24"/>
        <v/>
      </c>
      <c r="AH209" s="47" t="str">
        <f t="shared" si="26"/>
        <v/>
      </c>
      <c r="AI209" s="47" t="str">
        <f t="shared" si="27"/>
        <v/>
      </c>
      <c r="AJ209" s="42" t="str">
        <f>IF(O209="",(IF(P209="Ansicht","INSERT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B209 &amp;" ,NULL ,'',349,"&amp; VLOOKUP(Q209,'AnmeldeVSS-Attribute'!$A$43:$B$50,2,FALSE)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B209 &amp;" ,"&amp; O209 &amp;" ,"&amp; IF(Q209="ja","'1'",IF(Q209="nein","'0'","'"&amp;Q209&amp;"'")) &amp;","&amp;IF(P209="enthält",349,IF(P209="nicht leer",352,IF(P209="enthält nicht",350,IF(P209="leer",351,0)))) &amp;" ,NULL ,GetDate() ,'scrc' ,GetDate() ,'scrc')")</f>
        <v/>
      </c>
      <c r="AK209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0" spans="1:37" x14ac:dyDescent="0.25">
      <c r="A210" s="71"/>
      <c r="B210" s="71"/>
      <c r="C210" s="71"/>
      <c r="D210" s="71"/>
      <c r="E210" s="66"/>
      <c r="F210" s="70"/>
      <c r="G210" s="71"/>
      <c r="H210" s="71"/>
      <c r="I210" s="71"/>
      <c r="J210" s="70"/>
      <c r="K210" s="70"/>
      <c r="L210" s="70"/>
      <c r="M210" s="70"/>
      <c r="N210" s="70"/>
      <c r="O210" s="70"/>
      <c r="P210" s="70"/>
      <c r="Q210" s="71"/>
      <c r="R210" s="70"/>
      <c r="S210" s="70"/>
      <c r="T210" s="65"/>
      <c r="U210" s="65"/>
      <c r="W210" s="42" t="e">
        <f>VLOOKUP($I210,'AnmeldeVSS-Attribute'!$A$2:$H$16,2,FALSE)</f>
        <v>#N/A</v>
      </c>
      <c r="X210" s="42" t="e">
        <f>VLOOKUP($I210,'AnmeldeVSS-Attribute'!$A$2:$H$16,3,FALSE)</f>
        <v>#N/A</v>
      </c>
      <c r="Y210" s="42" t="e">
        <f>VLOOKUP($I210,'AnmeldeVSS-Attribute'!$A$2:$H$16,4,FALSE)</f>
        <v>#N/A</v>
      </c>
      <c r="Z210" s="42" t="e">
        <f>VLOOKUP($I210,'AnmeldeVSS-Attribute'!$A$2:$H$16,5,FALSE)</f>
        <v>#N/A</v>
      </c>
      <c r="AA210" s="42" t="e">
        <f>VLOOKUP($I210,'AnmeldeVSS-Attribute'!$A$2:$H$16,6,FALSE)</f>
        <v>#N/A</v>
      </c>
      <c r="AB210" s="42" t="e">
        <f>VLOOKUP($I210,'AnmeldeVSS-Attribute'!$A$2:$H$16,7,FALSE)</f>
        <v>#N/A</v>
      </c>
      <c r="AC210" s="42" t="e">
        <f>IF(I210="Geldbetrag",J210,(IF(T210="",VLOOKUP($I210,'AnmeldeVSS-Attribute'!$A$2:$H$16,8,FALSE),T210)))</f>
        <v>#N/A</v>
      </c>
      <c r="AD210" s="42">
        <f>IF(S210="",0,VLOOKUP(S210,'AnmeldeVSS-Attribute'!$A$20:$B$26,2,FALSE))</f>
        <v>0</v>
      </c>
      <c r="AE210" s="42" t="e">
        <f t="shared" si="23"/>
        <v>#N/A</v>
      </c>
      <c r="AF210" s="42" t="str">
        <f t="shared" si="25"/>
        <v/>
      </c>
      <c r="AG210" s="42" t="str">
        <f t="shared" si="24"/>
        <v/>
      </c>
      <c r="AH210" s="47" t="str">
        <f t="shared" si="26"/>
        <v/>
      </c>
      <c r="AI210" s="47" t="str">
        <f t="shared" si="27"/>
        <v/>
      </c>
      <c r="AJ210" s="42" t="str">
        <f>IF(O210="",(IF(P210="Ansicht","INSERT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B210 &amp;" ,NULL ,'',349,"&amp; VLOOKUP(Q210,'AnmeldeVSS-Attribute'!$A$43:$B$50,2,FALSE)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B210 &amp;" ,"&amp; O210 &amp;" ,"&amp; IF(Q210="ja","'1'",IF(Q210="nein","'0'","'"&amp;Q210&amp;"'")) &amp;","&amp;IF(P210="enthält",349,IF(P210="nicht leer",352,IF(P210="enthält nicht",350,IF(P210="leer",351,0)))) &amp;" ,NULL ,GetDate() ,'scrc' ,GetDate() ,'scrc')")</f>
        <v/>
      </c>
      <c r="AK210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1" spans="1:37" x14ac:dyDescent="0.25">
      <c r="A211" s="68"/>
      <c r="B211" s="68"/>
      <c r="C211" s="68"/>
      <c r="D211" s="68"/>
      <c r="E211" s="66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5"/>
      <c r="U211" s="65"/>
      <c r="W211" s="42" t="e">
        <f>VLOOKUP($I211,'AnmeldeVSS-Attribute'!$A$2:$H$16,2,FALSE)</f>
        <v>#N/A</v>
      </c>
      <c r="X211" s="42" t="e">
        <f>VLOOKUP($I211,'AnmeldeVSS-Attribute'!$A$2:$H$16,3,FALSE)</f>
        <v>#N/A</v>
      </c>
      <c r="Y211" s="42" t="e">
        <f>VLOOKUP($I211,'AnmeldeVSS-Attribute'!$A$2:$H$16,4,FALSE)</f>
        <v>#N/A</v>
      </c>
      <c r="Z211" s="42" t="e">
        <f>VLOOKUP($I211,'AnmeldeVSS-Attribute'!$A$2:$H$16,5,FALSE)</f>
        <v>#N/A</v>
      </c>
      <c r="AA211" s="42" t="e">
        <f>VLOOKUP($I211,'AnmeldeVSS-Attribute'!$A$2:$H$16,6,FALSE)</f>
        <v>#N/A</v>
      </c>
      <c r="AB211" s="42" t="e">
        <f>VLOOKUP($I211,'AnmeldeVSS-Attribute'!$A$2:$H$16,7,FALSE)</f>
        <v>#N/A</v>
      </c>
      <c r="AC211" s="42" t="e">
        <f>IF(I211="Geldbetrag",J211,(IF(T211="",VLOOKUP($I211,'AnmeldeVSS-Attribute'!$A$2:$H$16,8,FALSE),T211)))</f>
        <v>#N/A</v>
      </c>
      <c r="AD211" s="42">
        <f>IF(S211="",0,VLOOKUP(S211,'AnmeldeVSS-Attribute'!$A$20:$B$26,2,FALSE))</f>
        <v>0</v>
      </c>
      <c r="AE211" s="42" t="e">
        <f t="shared" si="23"/>
        <v>#N/A</v>
      </c>
      <c r="AF211" s="42" t="str">
        <f t="shared" ref="AF211:AF212" si="29">IF(B211&lt;100000,"",AE211)</f>
        <v/>
      </c>
      <c r="AG211" s="42" t="str">
        <f t="shared" si="24"/>
        <v/>
      </c>
      <c r="AH211" s="47" t="str">
        <f t="shared" ref="AH211:AH212" si="30">IF(AF211="","",IF(J211="","",IF(I211="LookupField",AK211,"")))</f>
        <v/>
      </c>
      <c r="AI211" s="47" t="str">
        <f t="shared" ref="AI211:AI212" si="31">IF(D211&lt;&gt;"","update tblAnmeldeVSSLanguage set AnmeldeVSSBezeichnung = '" &amp; D211 &amp;"', AnmeldeVSSBezeichnungToDo = 0 " &amp;IF(H211&lt;&gt;"",", AnmeldeVSSTooltip = '"&amp; H211 &amp;"', AnmeldeVSSTooltipToDo = 0 ","") &amp; "where IDAnlass = "&amp; IDAnlass &amp;" and IDAnmeldeVSS = "&amp; B211,"")</f>
        <v/>
      </c>
      <c r="AJ211" s="42" t="str">
        <f>IF(O211="",(IF(P211="Ansicht","INSERT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B211 &amp;" ,NULL ,'',349,"&amp; VLOOKUP(Q211,'AnmeldeVSS-Attribute'!$A$43:$B$50,2,FALSE)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B211 &amp;" ,"&amp; O211 &amp;" ,"&amp; IF(Q211="ja","'1'",IF(Q211="nein","'0'","'"&amp;Q211&amp;"'")) &amp;","&amp;IF(P211="enthält",349,IF(P211="nicht leer",352,IF(P211="enthält nicht",350,IF(P211="leer",351,0)))) &amp;" ,NULL ,GetDate() ,'scrc' ,GetDate() ,'scrc')")</f>
        <v/>
      </c>
      <c r="AK211" s="48" t="str">
        <f t="shared" ref="AK211:AK212" si="32">CONCATENATE("update tblAnmeldeVSS set AnmeldeVSSOTUseLegacyRowSource = 1, AnmeldeVssOTUseLegacyValueCalculation = 1, AnmeldeVSSRowSource='","Select ''",SUBSTITUTE(J211,",","'' where @kontextidlanguage = 1 union select ''"),"'' where @kontextidlanguage = 1 ","union select ''",SUBSTITUTE(K211,",","'' where @kontextidlanguage = 133 union select ''"),"'' where @kontextidlanguage = 133'"," where IDAnmeldeVSS ="&amp;B211&amp;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2" spans="1:37" x14ac:dyDescent="0.25">
      <c r="A212" s="68"/>
      <c r="B212" s="68"/>
      <c r="C212" s="68"/>
      <c r="D212" s="68"/>
      <c r="E212" s="66"/>
      <c r="F212" s="68"/>
      <c r="G212" s="68"/>
      <c r="H212" s="68"/>
      <c r="I212" s="68"/>
      <c r="J212" s="68"/>
      <c r="K212" s="68"/>
      <c r="L212" s="68"/>
      <c r="M212" s="68"/>
      <c r="N212" s="66"/>
      <c r="O212" s="68"/>
      <c r="P212" s="68"/>
      <c r="Q212" s="68"/>
      <c r="R212" s="68"/>
      <c r="S212" s="68"/>
      <c r="T212" s="65"/>
      <c r="U212" s="65"/>
      <c r="V212" s="42"/>
      <c r="W212" s="42" t="e">
        <f>VLOOKUP($I212,'AnmeldeVSS-Attribute'!$A$2:$H$16,2,FALSE)</f>
        <v>#N/A</v>
      </c>
      <c r="X212" s="42" t="e">
        <f>VLOOKUP($I212,'AnmeldeVSS-Attribute'!$A$2:$H$16,3,FALSE)</f>
        <v>#N/A</v>
      </c>
      <c r="Y212" s="42" t="e">
        <f>VLOOKUP($I212,'AnmeldeVSS-Attribute'!$A$2:$H$16,4,FALSE)</f>
        <v>#N/A</v>
      </c>
      <c r="Z212" s="42" t="e">
        <f>VLOOKUP($I212,'AnmeldeVSS-Attribute'!$A$2:$H$16,5,FALSE)</f>
        <v>#N/A</v>
      </c>
      <c r="AA212" s="42" t="e">
        <f>VLOOKUP($I212,'AnmeldeVSS-Attribute'!$A$2:$H$16,6,FALSE)</f>
        <v>#N/A</v>
      </c>
      <c r="AB212" s="42" t="e">
        <f>VLOOKUP($I212,'AnmeldeVSS-Attribute'!$A$2:$H$16,7,FALSE)</f>
        <v>#N/A</v>
      </c>
      <c r="AC212" s="42" t="e">
        <f>IF(I212="Geldbetrag",J212,(IF(T212="",VLOOKUP($I212,'AnmeldeVSS-Attribute'!$A$2:$H$16,8,FALSE),T212)))</f>
        <v>#N/A</v>
      </c>
      <c r="AD212" s="42">
        <f>IF(S212="",0,VLOOKUP(S212,'AnmeldeVSS-Attribute'!$A$20:$B$26,2,FALSE))</f>
        <v>0</v>
      </c>
      <c r="AE212" s="42" t="e">
        <f t="shared" si="23"/>
        <v>#N/A</v>
      </c>
      <c r="AF212" s="42" t="str">
        <f t="shared" si="29"/>
        <v/>
      </c>
      <c r="AG212" s="42" t="str">
        <f t="shared" si="24"/>
        <v/>
      </c>
      <c r="AH212" s="47" t="str">
        <f t="shared" si="30"/>
        <v/>
      </c>
      <c r="AI212" s="47" t="str">
        <f t="shared" si="31"/>
        <v/>
      </c>
      <c r="AJ212" s="42" t="str">
        <f>IF(O212="",(IF(P212="Ansicht","INSERT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B212 &amp;" ,NULL ,'',349,"&amp; VLOOKUP(Q212,'AnmeldeVSS-Attribute'!$A$43:$B$50,2,FALSE)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B212 &amp;" ,"&amp; O212 &amp;" ,"&amp; IF(Q212="ja","'1'",IF(Q212="nein","'0'","'"&amp;Q212&amp;"'")) &amp;","&amp;IF(P212="enthält",349,IF(P212="nicht leer",352,IF(P212="enthält nicht",350,IF(P212="leer",351,0)))) &amp;" ,NULL ,GetDate() ,'scrc' ,GetDate() ,'scrc')")</f>
        <v/>
      </c>
      <c r="AK212" s="48" t="str">
        <f t="shared" si="3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3" spans="1:37" x14ac:dyDescent="0.25">
      <c r="A213" s="63"/>
      <c r="B213" s="63"/>
      <c r="C213" s="64"/>
      <c r="D213" s="64"/>
      <c r="E213" s="63"/>
      <c r="F213" s="64"/>
      <c r="G213" s="64"/>
      <c r="H213" s="64"/>
      <c r="I213" s="64"/>
      <c r="J213" s="64"/>
      <c r="K213" s="64"/>
      <c r="L213" s="64"/>
      <c r="M213" s="63"/>
      <c r="N213" s="63"/>
      <c r="O213" s="63"/>
      <c r="P213" s="63"/>
      <c r="Q213" s="64"/>
      <c r="R213" s="63"/>
      <c r="S213" s="63"/>
      <c r="T213" s="65"/>
      <c r="U213" s="65"/>
      <c r="W213" s="42" t="e">
        <f>VLOOKUP($I213,'AnmeldeVSS-Attribute'!$A$2:$H$16,2,FALSE)</f>
        <v>#N/A</v>
      </c>
      <c r="X213" s="42" t="e">
        <f>VLOOKUP($I213,'AnmeldeVSS-Attribute'!$A$2:$H$16,3,FALSE)</f>
        <v>#N/A</v>
      </c>
      <c r="Y213" s="42" t="e">
        <f>VLOOKUP($I213,'AnmeldeVSS-Attribute'!$A$2:$H$16,4,FALSE)</f>
        <v>#N/A</v>
      </c>
      <c r="Z213" s="42" t="e">
        <f>VLOOKUP($I213,'AnmeldeVSS-Attribute'!$A$2:$H$16,5,FALSE)</f>
        <v>#N/A</v>
      </c>
      <c r="AA213" s="42" t="e">
        <f>VLOOKUP($I213,'AnmeldeVSS-Attribute'!$A$2:$H$16,6,FALSE)</f>
        <v>#N/A</v>
      </c>
      <c r="AB213" s="42" t="e">
        <f>VLOOKUP($I213,'AnmeldeVSS-Attribute'!$A$2:$H$16,7,FALSE)</f>
        <v>#N/A</v>
      </c>
      <c r="AC213" s="42" t="e">
        <f>IF(I213="Geldbetrag",J213,(IF(T213="",VLOOKUP($I213,'AnmeldeVSS-Attribute'!$A$2:$H$16,8,FALSE),T213)))</f>
        <v>#N/A</v>
      </c>
      <c r="AD213" s="42">
        <f>IF(S213="",0,VLOOKUP(S213,'AnmeldeVSS-Attribute'!$A$20:$B$26,2,FALSE))</f>
        <v>0</v>
      </c>
      <c r="AE213" s="42" t="e">
        <f t="shared" si="23"/>
        <v>#N/A</v>
      </c>
      <c r="AF213" s="42" t="str">
        <f t="shared" si="25"/>
        <v/>
      </c>
      <c r="AG213" s="42" t="str">
        <f t="shared" si="24"/>
        <v/>
      </c>
      <c r="AH213" s="47" t="str">
        <f t="shared" si="26"/>
        <v/>
      </c>
      <c r="AI213" s="47" t="str">
        <f t="shared" si="27"/>
        <v/>
      </c>
      <c r="AJ213" s="42" t="str">
        <f>IF(O213="",(IF(P213="Ansicht","INSERT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B213 &amp;" ,NULL ,'',349,"&amp; VLOOKUP(Q213,'AnmeldeVSS-Attribute'!$A$43:$B$50,2,FALSE)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B213 &amp;" ,"&amp; O213 &amp;" ,"&amp; IF(Q213="ja","'1'",IF(Q213="nein","'0'","'"&amp;Q213&amp;"'")) &amp;","&amp;IF(P213="enthält",349,IF(P213="nicht leer",352,IF(P213="enthält nicht",350,IF(P213="leer",351,0)))) &amp;" ,NULL ,GetDate() ,'scrc' ,GetDate() ,'scrc')")</f>
        <v/>
      </c>
      <c r="AK213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4" spans="1:37" ht="32.450000000000003" customHeight="1" x14ac:dyDescent="0.25">
      <c r="A214" s="63"/>
      <c r="B214" s="63"/>
      <c r="C214" s="64"/>
      <c r="D214" s="64"/>
      <c r="E214" s="63"/>
      <c r="F214" s="64"/>
      <c r="G214" s="64"/>
      <c r="H214" s="64"/>
      <c r="I214" s="64"/>
      <c r="J214" s="64"/>
      <c r="K214" s="64"/>
      <c r="L214" s="64"/>
      <c r="M214" s="63"/>
      <c r="N214" s="63"/>
      <c r="O214" s="63"/>
      <c r="P214" s="63"/>
      <c r="Q214" s="64"/>
      <c r="R214" s="63"/>
      <c r="S214" s="63"/>
      <c r="T214" s="65"/>
      <c r="U214" s="65"/>
      <c r="W214" s="42" t="e">
        <f>VLOOKUP($I214,'AnmeldeVSS-Attribute'!$A$2:$H$16,2,FALSE)</f>
        <v>#N/A</v>
      </c>
      <c r="X214" s="42" t="e">
        <f>VLOOKUP($I214,'AnmeldeVSS-Attribute'!$A$2:$H$16,3,FALSE)</f>
        <v>#N/A</v>
      </c>
      <c r="Y214" s="42" t="e">
        <f>VLOOKUP($I214,'AnmeldeVSS-Attribute'!$A$2:$H$16,4,FALSE)</f>
        <v>#N/A</v>
      </c>
      <c r="Z214" s="42" t="e">
        <f>VLOOKUP($I214,'AnmeldeVSS-Attribute'!$A$2:$H$16,5,FALSE)</f>
        <v>#N/A</v>
      </c>
      <c r="AA214" s="42" t="e">
        <f>VLOOKUP($I214,'AnmeldeVSS-Attribute'!$A$2:$H$16,6,FALSE)</f>
        <v>#N/A</v>
      </c>
      <c r="AB214" s="42" t="e">
        <f>VLOOKUP($I214,'AnmeldeVSS-Attribute'!$A$2:$H$16,7,FALSE)</f>
        <v>#N/A</v>
      </c>
      <c r="AC214" s="42" t="e">
        <f>IF(I214="Geldbetrag",J214,(IF(T214="",VLOOKUP($I214,'AnmeldeVSS-Attribute'!$A$2:$H$16,8,FALSE),T214)))</f>
        <v>#N/A</v>
      </c>
      <c r="AD214" s="42">
        <f>IF(S214="",0,VLOOKUP(S214,'AnmeldeVSS-Attribute'!$A$20:$B$26,2,FALSE))</f>
        <v>0</v>
      </c>
      <c r="AE214" s="42" t="e">
        <f t="shared" si="23"/>
        <v>#N/A</v>
      </c>
      <c r="AF214" s="42" t="str">
        <f t="shared" si="25"/>
        <v/>
      </c>
      <c r="AG214" s="42" t="str">
        <f t="shared" si="24"/>
        <v/>
      </c>
      <c r="AH214" s="47" t="str">
        <f t="shared" si="26"/>
        <v/>
      </c>
      <c r="AI214" s="47" t="str">
        <f t="shared" si="27"/>
        <v/>
      </c>
      <c r="AJ214" s="42" t="str">
        <f>IF(O214="",(IF(P214="Ansicht","INSERT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B214 &amp;" ,NULL ,'',349,"&amp; VLOOKUP(Q214,'AnmeldeVSS-Attribute'!$A$43:$B$50,2,FALSE)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B214 &amp;" ,"&amp; O214 &amp;" ,"&amp; IF(Q214="ja","'1'",IF(Q214="nein","'0'","'"&amp;Q214&amp;"'")) &amp;","&amp;IF(P214="enthält",349,IF(P214="nicht leer",352,IF(P214="enthält nicht",350,IF(P214="leer",351,0)))) &amp;" ,NULL ,GetDate() ,'scrc' ,GetDate() ,'scrc')")</f>
        <v/>
      </c>
      <c r="AK214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5" spans="1:37" x14ac:dyDescent="0.25">
      <c r="A215" s="71"/>
      <c r="B215" s="71"/>
      <c r="C215" s="71"/>
      <c r="D215" s="71"/>
      <c r="E215" s="66"/>
      <c r="F215" s="71"/>
      <c r="G215" s="71"/>
      <c r="H215" s="71"/>
      <c r="I215" s="71"/>
      <c r="J215" s="71"/>
      <c r="K215" s="71"/>
      <c r="L215" s="71"/>
      <c r="M215" s="70"/>
      <c r="N215" s="70"/>
      <c r="O215" s="70"/>
      <c r="P215" s="70"/>
      <c r="Q215" s="71"/>
      <c r="R215" s="70"/>
      <c r="S215" s="70"/>
      <c r="T215" s="65"/>
      <c r="U215" s="65"/>
      <c r="W215" s="42" t="e">
        <f>VLOOKUP($I215,'AnmeldeVSS-Attribute'!$A$2:$H$16,2,FALSE)</f>
        <v>#N/A</v>
      </c>
      <c r="X215" s="42" t="e">
        <f>VLOOKUP($I215,'AnmeldeVSS-Attribute'!$A$2:$H$16,3,FALSE)</f>
        <v>#N/A</v>
      </c>
      <c r="Y215" s="42" t="e">
        <f>VLOOKUP($I215,'AnmeldeVSS-Attribute'!$A$2:$H$16,4,FALSE)</f>
        <v>#N/A</v>
      </c>
      <c r="Z215" s="42" t="e">
        <f>VLOOKUP($I215,'AnmeldeVSS-Attribute'!$A$2:$H$16,5,FALSE)</f>
        <v>#N/A</v>
      </c>
      <c r="AA215" s="42" t="e">
        <f>VLOOKUP($I215,'AnmeldeVSS-Attribute'!$A$2:$H$16,6,FALSE)</f>
        <v>#N/A</v>
      </c>
      <c r="AB215" s="42" t="e">
        <f>VLOOKUP($I215,'AnmeldeVSS-Attribute'!$A$2:$H$16,7,FALSE)</f>
        <v>#N/A</v>
      </c>
      <c r="AC215" s="42" t="e">
        <f>IF(I215="Geldbetrag",J215,(IF(T215="",VLOOKUP($I215,'AnmeldeVSS-Attribute'!$A$2:$H$16,8,FALSE),T215)))</f>
        <v>#N/A</v>
      </c>
      <c r="AD215" s="42">
        <f>IF(S215="",0,VLOOKUP(S215,'AnmeldeVSS-Attribute'!$A$20:$B$26,2,FALSE))</f>
        <v>0</v>
      </c>
      <c r="AE215" s="42" t="e">
        <f t="shared" si="23"/>
        <v>#N/A</v>
      </c>
      <c r="AF215" s="42" t="str">
        <f t="shared" si="25"/>
        <v/>
      </c>
      <c r="AG215" s="42" t="str">
        <f t="shared" si="24"/>
        <v/>
      </c>
      <c r="AH215" s="47" t="str">
        <f t="shared" si="26"/>
        <v/>
      </c>
      <c r="AI215" s="47" t="str">
        <f t="shared" si="27"/>
        <v/>
      </c>
      <c r="AJ215" s="42" t="str">
        <f>IF(O215="",(IF(P215="Ansicht","INSERT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B215 &amp;" ,NULL ,'',349,"&amp; VLOOKUP(Q215,'AnmeldeVSS-Attribute'!$A$43:$B$50,2,FALSE)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B215 &amp;" ,"&amp; O215 &amp;" ,"&amp; IF(Q215="ja","'1'",IF(Q215="nein","'0'","'"&amp;Q215&amp;"'")) &amp;","&amp;IF(P215="enthält",349,IF(P215="nicht leer",352,IF(P215="enthält nicht",350,IF(P215="leer",351,0)))) &amp;" ,NULL ,GetDate() ,'scrc' ,GetDate() ,'scrc')")</f>
        <v/>
      </c>
      <c r="AK215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6" spans="1:37" x14ac:dyDescent="0.25">
      <c r="A216" s="24"/>
      <c r="B216" s="66"/>
      <c r="C216" s="68"/>
      <c r="D216" s="68"/>
      <c r="E216" s="66"/>
      <c r="F216" s="68"/>
      <c r="G216" s="68"/>
      <c r="H216" s="68"/>
      <c r="I216" s="68"/>
      <c r="J216" s="68"/>
      <c r="K216" s="68"/>
      <c r="L216" s="68"/>
      <c r="M216" s="66"/>
      <c r="N216" s="66"/>
      <c r="O216" s="66"/>
      <c r="P216" s="66"/>
      <c r="Q216" s="68"/>
      <c r="R216" s="66"/>
      <c r="S216" s="66"/>
      <c r="T216" s="65"/>
      <c r="U216" s="65"/>
      <c r="W216" s="42" t="e">
        <f>VLOOKUP($I216,'AnmeldeVSS-Attribute'!$A$2:$H$16,2,FALSE)</f>
        <v>#N/A</v>
      </c>
      <c r="X216" s="42" t="e">
        <f>VLOOKUP($I216,'AnmeldeVSS-Attribute'!$A$2:$H$16,3,FALSE)</f>
        <v>#N/A</v>
      </c>
      <c r="Y216" s="42" t="e">
        <f>VLOOKUP($I216,'AnmeldeVSS-Attribute'!$A$2:$H$16,4,FALSE)</f>
        <v>#N/A</v>
      </c>
      <c r="Z216" s="42" t="e">
        <f>VLOOKUP($I216,'AnmeldeVSS-Attribute'!$A$2:$H$16,5,FALSE)</f>
        <v>#N/A</v>
      </c>
      <c r="AA216" s="42" t="e">
        <f>VLOOKUP($I216,'AnmeldeVSS-Attribute'!$A$2:$H$16,6,FALSE)</f>
        <v>#N/A</v>
      </c>
      <c r="AB216" s="42" t="e">
        <f>VLOOKUP($I216,'AnmeldeVSS-Attribute'!$A$2:$H$16,7,FALSE)</f>
        <v>#N/A</v>
      </c>
      <c r="AC216" s="42" t="e">
        <f>IF(I216="Geldbetrag",J216,(IF(T216="",VLOOKUP($I216,'AnmeldeVSS-Attribute'!$A$2:$H$16,8,FALSE),T216)))</f>
        <v>#N/A</v>
      </c>
      <c r="AD216" s="42">
        <f>IF(S216="",0,VLOOKUP(S216,'AnmeldeVSS-Attribute'!$A$20:$B$26,2,FALSE))</f>
        <v>0</v>
      </c>
      <c r="AE216" s="42" t="e">
        <f t="shared" si="23"/>
        <v>#N/A</v>
      </c>
      <c r="AF216" s="42" t="str">
        <f t="shared" si="25"/>
        <v/>
      </c>
      <c r="AG216" s="42" t="str">
        <f t="shared" si="24"/>
        <v/>
      </c>
      <c r="AH216" s="47" t="str">
        <f t="shared" si="26"/>
        <v/>
      </c>
      <c r="AI216" s="47" t="str">
        <f t="shared" si="27"/>
        <v/>
      </c>
      <c r="AJ216" s="42" t="str">
        <f>IF(O216="",(IF(P216="Ansicht","INSERT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B216 &amp;" ,NULL ,'',349,"&amp; VLOOKUP(Q216,'AnmeldeVSS-Attribute'!$A$43:$B$50,2,FALSE)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B216 &amp;" ,"&amp; O216 &amp;" ,"&amp; IF(Q216="ja","'1'",IF(Q216="nein","'0'","'"&amp;Q216&amp;"'")) &amp;","&amp;IF(P216="enthält",349,IF(P216="nicht leer",352,IF(P216="enthält nicht",350,IF(P216="leer",351,0)))) &amp;" ,NULL ,GetDate() ,'scrc' ,GetDate() ,'scrc')")</f>
        <v/>
      </c>
      <c r="AK216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7" spans="1:37" x14ac:dyDescent="0.25">
      <c r="A217" s="24"/>
      <c r="B217" s="66"/>
      <c r="C217" s="68"/>
      <c r="D217" s="68"/>
      <c r="E217" s="66"/>
      <c r="F217" s="68"/>
      <c r="G217" s="68"/>
      <c r="H217" s="68"/>
      <c r="I217" s="68"/>
      <c r="J217" s="25"/>
      <c r="K217" s="25"/>
      <c r="L217" s="25"/>
      <c r="M217" s="66"/>
      <c r="N217" s="66"/>
      <c r="O217" s="66"/>
      <c r="P217" s="66"/>
      <c r="Q217" s="68"/>
      <c r="R217" s="66"/>
      <c r="S217" s="66"/>
      <c r="T217" s="65"/>
      <c r="U217" s="65"/>
      <c r="W217" s="42" t="e">
        <f>VLOOKUP($I217,'AnmeldeVSS-Attribute'!$A$2:$H$16,2,FALSE)</f>
        <v>#N/A</v>
      </c>
      <c r="X217" s="42" t="e">
        <f>VLOOKUP($I217,'AnmeldeVSS-Attribute'!$A$2:$H$16,3,FALSE)</f>
        <v>#N/A</v>
      </c>
      <c r="Y217" s="42" t="e">
        <f>VLOOKUP($I217,'AnmeldeVSS-Attribute'!$A$2:$H$16,4,FALSE)</f>
        <v>#N/A</v>
      </c>
      <c r="Z217" s="42" t="e">
        <f>VLOOKUP($I217,'AnmeldeVSS-Attribute'!$A$2:$H$16,5,FALSE)</f>
        <v>#N/A</v>
      </c>
      <c r="AA217" s="42" t="e">
        <f>VLOOKUP($I217,'AnmeldeVSS-Attribute'!$A$2:$H$16,6,FALSE)</f>
        <v>#N/A</v>
      </c>
      <c r="AB217" s="42" t="e">
        <f>VLOOKUP($I217,'AnmeldeVSS-Attribute'!$A$2:$H$16,7,FALSE)</f>
        <v>#N/A</v>
      </c>
      <c r="AC217" s="42" t="e">
        <f>IF(I217="Geldbetrag",J217,(IF(T217="",VLOOKUP($I217,'AnmeldeVSS-Attribute'!$A$2:$H$16,8,FALSE),T217)))</f>
        <v>#N/A</v>
      </c>
      <c r="AD217" s="42">
        <f>IF(S217="",0,VLOOKUP(S217,'AnmeldeVSS-Attribute'!$A$20:$B$26,2,FALSE))</f>
        <v>0</v>
      </c>
      <c r="AE217" s="42" t="e">
        <f t="shared" si="23"/>
        <v>#N/A</v>
      </c>
      <c r="AF217" s="42" t="str">
        <f t="shared" si="25"/>
        <v/>
      </c>
      <c r="AG217" s="42" t="str">
        <f t="shared" si="24"/>
        <v/>
      </c>
      <c r="AH217" s="47" t="str">
        <f t="shared" si="26"/>
        <v/>
      </c>
      <c r="AI217" s="47" t="str">
        <f t="shared" si="27"/>
        <v/>
      </c>
      <c r="AJ217" s="42" t="str">
        <f>IF(O217="",(IF(P217="Ansicht","INSERT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B217 &amp;" ,NULL ,'',349,"&amp; VLOOKUP(Q217,'AnmeldeVSS-Attribute'!$A$43:$B$50,2,FALSE)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B217 &amp;" ,"&amp; O217 &amp;" ,"&amp; IF(Q217="ja","'1'",IF(Q217="nein","'0'","'"&amp;Q217&amp;"'")) &amp;","&amp;IF(P217="enthält",349,IF(P217="nicht leer",352,IF(P217="enthält nicht",350,IF(P217="leer",351,0)))) &amp;" ,NULL ,GetDate() ,'scrc' ,GetDate() ,'scrc')")</f>
        <v/>
      </c>
      <c r="AK217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8" spans="1:37" x14ac:dyDescent="0.25">
      <c r="A218" s="24"/>
      <c r="B218" s="66"/>
      <c r="C218" s="68"/>
      <c r="D218" s="68"/>
      <c r="E218" s="66"/>
      <c r="F218" s="68"/>
      <c r="G218" s="68"/>
      <c r="H218" s="68"/>
      <c r="I218" s="68"/>
      <c r="J218" s="25"/>
      <c r="K218" s="25"/>
      <c r="L218" s="25"/>
      <c r="M218" s="66"/>
      <c r="N218" s="66"/>
      <c r="O218" s="66"/>
      <c r="P218" s="66"/>
      <c r="Q218" s="68"/>
      <c r="R218" s="66"/>
      <c r="S218" s="66"/>
      <c r="T218" s="65"/>
      <c r="U218" s="65"/>
      <c r="W218" s="42" t="e">
        <f>VLOOKUP($I218,'AnmeldeVSS-Attribute'!$A$2:$H$16,2,FALSE)</f>
        <v>#N/A</v>
      </c>
      <c r="X218" s="42" t="e">
        <f>VLOOKUP($I218,'AnmeldeVSS-Attribute'!$A$2:$H$16,3,FALSE)</f>
        <v>#N/A</v>
      </c>
      <c r="Y218" s="42" t="e">
        <f>VLOOKUP($I218,'AnmeldeVSS-Attribute'!$A$2:$H$16,4,FALSE)</f>
        <v>#N/A</v>
      </c>
      <c r="Z218" s="42" t="e">
        <f>VLOOKUP($I218,'AnmeldeVSS-Attribute'!$A$2:$H$16,5,FALSE)</f>
        <v>#N/A</v>
      </c>
      <c r="AA218" s="42" t="e">
        <f>VLOOKUP($I218,'AnmeldeVSS-Attribute'!$A$2:$H$16,6,FALSE)</f>
        <v>#N/A</v>
      </c>
      <c r="AB218" s="42" t="e">
        <f>VLOOKUP($I218,'AnmeldeVSS-Attribute'!$A$2:$H$16,7,FALSE)</f>
        <v>#N/A</v>
      </c>
      <c r="AC218" s="42" t="e">
        <f>IF(I218="Geldbetrag",J218,(IF(T218="",VLOOKUP($I218,'AnmeldeVSS-Attribute'!$A$2:$H$16,8,FALSE),T218)))</f>
        <v>#N/A</v>
      </c>
      <c r="AD218" s="42">
        <f>IF(S218="",0,VLOOKUP(S218,'AnmeldeVSS-Attribute'!$A$20:$B$26,2,FALSE))</f>
        <v>0</v>
      </c>
      <c r="AE218" s="42" t="e">
        <f t="shared" si="23"/>
        <v>#N/A</v>
      </c>
      <c r="AF218" s="42" t="str">
        <f t="shared" si="25"/>
        <v/>
      </c>
      <c r="AG218" s="42" t="str">
        <f t="shared" si="24"/>
        <v/>
      </c>
      <c r="AH218" s="47" t="str">
        <f t="shared" si="26"/>
        <v/>
      </c>
      <c r="AI218" s="47" t="str">
        <f t="shared" si="27"/>
        <v/>
      </c>
      <c r="AJ218" s="42" t="str">
        <f>IF(O218="",(IF(P218="Ansicht","INSERT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B218 &amp;" ,NULL ,'',349,"&amp; VLOOKUP(Q218,'AnmeldeVSS-Attribute'!$A$43:$B$50,2,FALSE)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B218 &amp;" ,"&amp; O218 &amp;" ,"&amp; IF(Q218="ja","'1'",IF(Q218="nein","'0'","'"&amp;Q218&amp;"'")) &amp;","&amp;IF(P218="enthält",349,IF(P218="nicht leer",352,IF(P218="enthält nicht",350,IF(P218="leer",351,0)))) &amp;" ,NULL ,GetDate() ,'scrc' ,GetDate() ,'scrc')")</f>
        <v/>
      </c>
      <c r="AK218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19" spans="1:37" x14ac:dyDescent="0.25">
      <c r="A219" s="71"/>
      <c r="B219" s="71"/>
      <c r="C219" s="71"/>
      <c r="D219" s="71"/>
      <c r="E219" s="66"/>
      <c r="F219" s="71"/>
      <c r="G219" s="71"/>
      <c r="H219" s="71"/>
      <c r="I219" s="71"/>
      <c r="J219" s="71"/>
      <c r="K219" s="71"/>
      <c r="L219" s="71"/>
      <c r="M219" s="70"/>
      <c r="N219" s="70"/>
      <c r="O219" s="70"/>
      <c r="P219" s="70"/>
      <c r="Q219" s="71"/>
      <c r="R219" s="70"/>
      <c r="S219" s="70"/>
      <c r="T219" s="65"/>
      <c r="U219" s="65"/>
      <c r="V219" s="42"/>
      <c r="W219" s="42" t="e">
        <f>VLOOKUP($I219,'AnmeldeVSS-Attribute'!$A$2:$H$16,2,FALSE)</f>
        <v>#N/A</v>
      </c>
      <c r="X219" s="42" t="e">
        <f>VLOOKUP($I219,'AnmeldeVSS-Attribute'!$A$2:$H$16,3,FALSE)</f>
        <v>#N/A</v>
      </c>
      <c r="Y219" s="42" t="e">
        <f>VLOOKUP($I219,'AnmeldeVSS-Attribute'!$A$2:$H$16,4,FALSE)</f>
        <v>#N/A</v>
      </c>
      <c r="Z219" s="42" t="e">
        <f>VLOOKUP($I219,'AnmeldeVSS-Attribute'!$A$2:$H$16,5,FALSE)</f>
        <v>#N/A</v>
      </c>
      <c r="AA219" s="42" t="e">
        <f>VLOOKUP($I219,'AnmeldeVSS-Attribute'!$A$2:$H$16,6,FALSE)</f>
        <v>#N/A</v>
      </c>
      <c r="AB219" s="42" t="e">
        <f>VLOOKUP($I219,'AnmeldeVSS-Attribute'!$A$2:$H$16,7,FALSE)</f>
        <v>#N/A</v>
      </c>
      <c r="AC219" s="42" t="e">
        <f>IF(I219="Geldbetrag",J219,(IF(T219="",VLOOKUP($I219,'AnmeldeVSS-Attribute'!$A$2:$H$16,8,FALSE),T219)))</f>
        <v>#N/A</v>
      </c>
      <c r="AD219" s="42">
        <f>IF(S219="",0,VLOOKUP(S219,'AnmeldeVSS-Attribute'!$A$20:$B$26,2,FALSE))</f>
        <v>0</v>
      </c>
      <c r="AE219" s="42" t="e">
        <f t="shared" si="23"/>
        <v>#N/A</v>
      </c>
      <c r="AF219" s="42" t="str">
        <f t="shared" ref="AF219:AF245" si="33">IF(B219&lt;100000,"",AE219)</f>
        <v/>
      </c>
      <c r="AG219" s="42" t="str">
        <f t="shared" si="24"/>
        <v/>
      </c>
      <c r="AH219" s="47" t="str">
        <f t="shared" ref="AH219:AH245" si="34">IF(AF219="","",IF(J219="","",IF(I219="LookupField",AK219,"")))</f>
        <v/>
      </c>
      <c r="AI219" s="47" t="str">
        <f t="shared" ref="AI219:AI245" si="35">IF(D219&lt;&gt;"","update tblAnmeldeVSSLanguage set AnmeldeVSSBezeichnung = '" &amp; D219 &amp;"', AnmeldeVSSBezeichnungToDo = 0 " &amp;IF(H219&lt;&gt;"",", AnmeldeVSSTooltip = '"&amp; H219 &amp;"', AnmeldeVSSTooltipToDo = 0 ","") &amp; "where IDAnlass = "&amp; IDAnlass &amp;" and IDAnmeldeVSS = "&amp; B219,"")</f>
        <v/>
      </c>
      <c r="AJ219" s="42" t="str">
        <f>IF(O219="",(IF(P219="Ansicht","INSERT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B219 &amp;" ,NULL ,'',349,"&amp; VLOOKUP(Q219,'AnmeldeVSS-Attribute'!$A$43:$B$50,2,FALSE)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B219 &amp;" ,"&amp; O219 &amp;" ,"&amp; IF(Q219="ja","'1'",IF(Q219="nein","'0'","'"&amp;Q219&amp;"'")) &amp;","&amp;IF(P219="enthält",349,IF(P219="nicht leer",352,IF(P219="enthält nicht",350,IF(P219="leer",351,0)))) &amp;" ,NULL ,GetDate() ,'scrc' ,GetDate() ,'scrc')")</f>
        <v/>
      </c>
      <c r="AK219" s="48" t="str">
        <f t="shared" ref="AK219:AK245" si="36">CONCATENATE("update tblAnmeldeVSS set AnmeldeVSSOTUseLegacyRowSource = 1, AnmeldeVssOTUseLegacyValueCalculation = 1, AnmeldeVSSRowSource='","Select ''",SUBSTITUTE(J219,",","'' where @kontextidlanguage = 1 union select ''"),"'' where @kontextidlanguage = 1 ","union select ''",SUBSTITUTE(K219,",","'' where @kontextidlanguage = 133 union select ''"),"'' where @kontextidlanguage = 133'"," where IDAnmeldeVSS ="&amp;B219&amp;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0" spans="1:37" x14ac:dyDescent="0.25">
      <c r="A220" s="68"/>
      <c r="B220" s="64"/>
      <c r="C220" s="64"/>
      <c r="D220" s="64"/>
      <c r="E220" s="63"/>
      <c r="F220" s="64"/>
      <c r="G220" s="64"/>
      <c r="H220" s="64"/>
      <c r="I220" s="64"/>
      <c r="J220" s="64"/>
      <c r="K220" s="64"/>
      <c r="L220" s="64"/>
      <c r="M220" s="63"/>
      <c r="N220" s="63"/>
      <c r="O220" s="63"/>
      <c r="P220" s="63"/>
      <c r="Q220" s="64"/>
      <c r="R220" s="63"/>
      <c r="S220" s="63"/>
      <c r="T220" s="65"/>
      <c r="U220" s="65"/>
      <c r="V220" s="42"/>
      <c r="W220" s="42" t="e">
        <f>VLOOKUP($I220,'AnmeldeVSS-Attribute'!$A$2:$H$16,2,FALSE)</f>
        <v>#N/A</v>
      </c>
      <c r="X220" s="42" t="e">
        <f>VLOOKUP($I220,'AnmeldeVSS-Attribute'!$A$2:$H$16,3,FALSE)</f>
        <v>#N/A</v>
      </c>
      <c r="Y220" s="42" t="e">
        <f>VLOOKUP($I220,'AnmeldeVSS-Attribute'!$A$2:$H$16,4,FALSE)</f>
        <v>#N/A</v>
      </c>
      <c r="Z220" s="42" t="e">
        <f>VLOOKUP($I220,'AnmeldeVSS-Attribute'!$A$2:$H$16,5,FALSE)</f>
        <v>#N/A</v>
      </c>
      <c r="AA220" s="42" t="e">
        <f>VLOOKUP($I220,'AnmeldeVSS-Attribute'!$A$2:$H$16,6,FALSE)</f>
        <v>#N/A</v>
      </c>
      <c r="AB220" s="42" t="e">
        <f>VLOOKUP($I220,'AnmeldeVSS-Attribute'!$A$2:$H$16,7,FALSE)</f>
        <v>#N/A</v>
      </c>
      <c r="AC220" s="42" t="e">
        <f>IF(I220="Geldbetrag",J220,(IF(T220="",VLOOKUP($I220,'AnmeldeVSS-Attribute'!$A$2:$H$16,8,FALSE),T220)))</f>
        <v>#N/A</v>
      </c>
      <c r="AD220" s="42">
        <f>IF(S220="",0,VLOOKUP(S220,'AnmeldeVSS-Attribute'!$A$20:$B$26,2,FALSE))</f>
        <v>0</v>
      </c>
      <c r="AE220" s="42" t="e">
        <f t="shared" si="23"/>
        <v>#N/A</v>
      </c>
      <c r="AF220" s="42" t="str">
        <f t="shared" si="33"/>
        <v/>
      </c>
      <c r="AG220" s="42" t="str">
        <f t="shared" si="24"/>
        <v/>
      </c>
      <c r="AH220" s="47" t="str">
        <f t="shared" si="34"/>
        <v/>
      </c>
      <c r="AI220" s="47" t="str">
        <f t="shared" si="35"/>
        <v/>
      </c>
      <c r="AJ220" s="42" t="str">
        <f>IF(O220="",(IF(P220="Ansicht","INSERT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B220 &amp;" ,NULL ,'',349,"&amp; VLOOKUP(Q220,'AnmeldeVSS-Attribute'!$A$43:$B$50,2,FALSE)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B220 &amp;" ,"&amp; O220 &amp;" ,"&amp; IF(Q220="ja","'1'",IF(Q220="nein","'0'","'"&amp;Q220&amp;"'")) &amp;","&amp;IF(P220="enthält",349,IF(P220="nicht leer",352,IF(P220="enthält nicht",350,IF(P220="leer",351,0)))) &amp;" ,NULL ,GetDate() ,'scrc' ,GetDate() ,'scrc')")</f>
        <v/>
      </c>
      <c r="AK220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1" spans="1:37" x14ac:dyDescent="0.25">
      <c r="A221" s="68"/>
      <c r="B221" s="64"/>
      <c r="C221" s="64"/>
      <c r="D221" s="64"/>
      <c r="E221" s="63"/>
      <c r="F221" s="64"/>
      <c r="G221" s="64"/>
      <c r="H221" s="64"/>
      <c r="I221" s="64"/>
      <c r="J221" s="64"/>
      <c r="K221" s="64"/>
      <c r="L221" s="64"/>
      <c r="M221" s="63"/>
      <c r="N221" s="63"/>
      <c r="O221" s="63"/>
      <c r="P221" s="63"/>
      <c r="Q221" s="64"/>
      <c r="R221" s="63"/>
      <c r="S221" s="63"/>
      <c r="T221" s="65"/>
      <c r="U221" s="65"/>
      <c r="W221" s="42" t="e">
        <f>VLOOKUP($I221,'AnmeldeVSS-Attribute'!$A$2:$H$16,2,FALSE)</f>
        <v>#N/A</v>
      </c>
      <c r="X221" s="42" t="e">
        <f>VLOOKUP($I221,'AnmeldeVSS-Attribute'!$A$2:$H$16,3,FALSE)</f>
        <v>#N/A</v>
      </c>
      <c r="Y221" s="42" t="e">
        <f>VLOOKUP($I221,'AnmeldeVSS-Attribute'!$A$2:$H$16,4,FALSE)</f>
        <v>#N/A</v>
      </c>
      <c r="Z221" s="42" t="e">
        <f>VLOOKUP($I221,'AnmeldeVSS-Attribute'!$A$2:$H$16,5,FALSE)</f>
        <v>#N/A</v>
      </c>
      <c r="AA221" s="42" t="e">
        <f>VLOOKUP($I221,'AnmeldeVSS-Attribute'!$A$2:$H$16,6,FALSE)</f>
        <v>#N/A</v>
      </c>
      <c r="AB221" s="42" t="e">
        <f>VLOOKUP($I221,'AnmeldeVSS-Attribute'!$A$2:$H$16,7,FALSE)</f>
        <v>#N/A</v>
      </c>
      <c r="AC221" s="42" t="e">
        <f>IF(I221="Geldbetrag",J221,(IF(T221="",VLOOKUP($I221,'AnmeldeVSS-Attribute'!$A$2:$H$16,8,FALSE),T221)))</f>
        <v>#N/A</v>
      </c>
      <c r="AD221" s="42">
        <f>IF(S221="",0,VLOOKUP(S221,'AnmeldeVSS-Attribute'!$A$20:$B$26,2,FALSE))</f>
        <v>0</v>
      </c>
      <c r="AE221" s="42" t="e">
        <f t="shared" si="23"/>
        <v>#N/A</v>
      </c>
      <c r="AF221" s="42" t="str">
        <f t="shared" si="33"/>
        <v/>
      </c>
      <c r="AG221" s="42" t="str">
        <f t="shared" si="24"/>
        <v/>
      </c>
      <c r="AH221" s="47" t="str">
        <f t="shared" si="34"/>
        <v/>
      </c>
      <c r="AI221" s="47" t="str">
        <f t="shared" si="35"/>
        <v/>
      </c>
      <c r="AJ221" s="42" t="str">
        <f>IF(O221="",(IF(P221="Ansicht","INSERT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B221 &amp;" ,NULL ,'',349,"&amp; VLOOKUP(Q221,'AnmeldeVSS-Attribute'!$A$43:$B$50,2,FALSE)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B221 &amp;" ,"&amp; O221 &amp;" ,"&amp; IF(Q221="ja","'1'",IF(Q221="nein","'0'","'"&amp;Q221&amp;"'")) &amp;","&amp;IF(P221="enthält",349,IF(P221="nicht leer",352,IF(P221="enthält nicht",350,IF(P221="leer",351,0)))) &amp;" ,NULL ,GetDate() ,'scrc' ,GetDate() ,'scrc')")</f>
        <v/>
      </c>
      <c r="AK221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2" spans="1:37" x14ac:dyDescent="0.25">
      <c r="A222" s="66"/>
      <c r="B222" s="63"/>
      <c r="C222" s="64"/>
      <c r="D222" s="64"/>
      <c r="E222" s="63"/>
      <c r="F222" s="64"/>
      <c r="G222" s="64"/>
      <c r="H222" s="64"/>
      <c r="I222" s="64"/>
      <c r="J222" s="64"/>
      <c r="K222" s="64"/>
      <c r="L222" s="64"/>
      <c r="M222" s="63"/>
      <c r="N222" s="63"/>
      <c r="O222" s="63"/>
      <c r="P222" s="63"/>
      <c r="Q222" s="64"/>
      <c r="R222" s="63"/>
      <c r="S222" s="63"/>
      <c r="T222" s="69"/>
      <c r="U222" s="69"/>
      <c r="V222" s="42"/>
      <c r="W222" s="42" t="e">
        <f>VLOOKUP($I222,'AnmeldeVSS-Attribute'!$A$2:$H$16,2,FALSE)</f>
        <v>#N/A</v>
      </c>
      <c r="X222" s="42" t="e">
        <f>VLOOKUP($I222,'AnmeldeVSS-Attribute'!$A$2:$H$16,3,FALSE)</f>
        <v>#N/A</v>
      </c>
      <c r="Y222" s="42" t="e">
        <f>VLOOKUP($I222,'AnmeldeVSS-Attribute'!$A$2:$H$16,4,FALSE)</f>
        <v>#N/A</v>
      </c>
      <c r="Z222" s="42" t="e">
        <f>VLOOKUP($I222,'AnmeldeVSS-Attribute'!$A$2:$H$16,5,FALSE)</f>
        <v>#N/A</v>
      </c>
      <c r="AA222" s="42" t="e">
        <f>VLOOKUP($I222,'AnmeldeVSS-Attribute'!$A$2:$H$16,6,FALSE)</f>
        <v>#N/A</v>
      </c>
      <c r="AB222" s="42" t="e">
        <f>VLOOKUP($I222,'AnmeldeVSS-Attribute'!$A$2:$H$16,7,FALSE)</f>
        <v>#N/A</v>
      </c>
      <c r="AC222" s="42" t="e">
        <f>IF(I222="Geldbetrag",J222,(IF(T222="",VLOOKUP($I222,'AnmeldeVSS-Attribute'!$A$2:$H$16,8,FALSE),T222)))</f>
        <v>#N/A</v>
      </c>
      <c r="AD222" s="42">
        <f>IF(S222="",0,VLOOKUP(S222,'AnmeldeVSS-Attribute'!$A$20:$B$26,2,FALSE))</f>
        <v>0</v>
      </c>
      <c r="AE222" s="42" t="e">
        <f t="shared" si="23"/>
        <v>#N/A</v>
      </c>
      <c r="AF222" s="42" t="str">
        <f t="shared" si="33"/>
        <v/>
      </c>
      <c r="AG222" s="42" t="str">
        <f t="shared" si="24"/>
        <v/>
      </c>
      <c r="AH222" s="47" t="str">
        <f t="shared" si="34"/>
        <v/>
      </c>
      <c r="AI222" s="47" t="str">
        <f t="shared" si="35"/>
        <v/>
      </c>
      <c r="AJ222" s="42" t="str">
        <f>IF(O222="",(IF(P222="Ansicht","INSERT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B222 &amp;" ,NULL ,'',349,"&amp; VLOOKUP(Q222,'AnmeldeVSS-Attribute'!$A$43:$B$50,2,FALSE)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B222 &amp;" ,"&amp; O222 &amp;" ,"&amp; IF(Q222="ja","'1'",IF(Q222="nein","'0'","'"&amp;Q222&amp;"'")) &amp;","&amp;IF(P222="enthält",349,IF(P222="nicht leer",352,IF(P222="enthält nicht",350,IF(P222="leer",351,0)))) &amp;" ,NULL ,GetDate() ,'scrc' ,GetDate() ,'scrc')")</f>
        <v/>
      </c>
      <c r="AK222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3" spans="1:37" x14ac:dyDescent="0.25">
      <c r="A223" s="71"/>
      <c r="B223" s="71"/>
      <c r="C223" s="71"/>
      <c r="D223" s="71"/>
      <c r="E223" s="66"/>
      <c r="F223" s="70"/>
      <c r="G223" s="71"/>
      <c r="H223" s="71"/>
      <c r="I223" s="71"/>
      <c r="J223" s="70"/>
      <c r="K223" s="70"/>
      <c r="L223" s="70"/>
      <c r="M223" s="70"/>
      <c r="N223" s="70"/>
      <c r="O223" s="70"/>
      <c r="P223" s="70"/>
      <c r="Q223" s="71"/>
      <c r="R223" s="70"/>
      <c r="S223" s="70"/>
      <c r="T223" s="65"/>
      <c r="U223" s="65"/>
      <c r="W223" s="42" t="e">
        <f>VLOOKUP($I223,'AnmeldeVSS-Attribute'!$A$2:$H$16,2,FALSE)</f>
        <v>#N/A</v>
      </c>
      <c r="X223" s="42" t="e">
        <f>VLOOKUP($I223,'AnmeldeVSS-Attribute'!$A$2:$H$16,3,FALSE)</f>
        <v>#N/A</v>
      </c>
      <c r="Y223" s="42" t="e">
        <f>VLOOKUP($I223,'AnmeldeVSS-Attribute'!$A$2:$H$16,4,FALSE)</f>
        <v>#N/A</v>
      </c>
      <c r="Z223" s="42" t="e">
        <f>VLOOKUP($I223,'AnmeldeVSS-Attribute'!$A$2:$H$16,5,FALSE)</f>
        <v>#N/A</v>
      </c>
      <c r="AA223" s="42" t="e">
        <f>VLOOKUP($I223,'AnmeldeVSS-Attribute'!$A$2:$H$16,6,FALSE)</f>
        <v>#N/A</v>
      </c>
      <c r="AB223" s="42" t="e">
        <f>VLOOKUP($I223,'AnmeldeVSS-Attribute'!$A$2:$H$16,7,FALSE)</f>
        <v>#N/A</v>
      </c>
      <c r="AC223" s="42" t="e">
        <f>IF(I223="Geldbetrag",J223,(IF(T223="",VLOOKUP($I223,'AnmeldeVSS-Attribute'!$A$2:$H$16,8,FALSE),T223)))</f>
        <v>#N/A</v>
      </c>
      <c r="AD223" s="42">
        <f>IF(S223="",0,VLOOKUP(S223,'AnmeldeVSS-Attribute'!$A$20:$B$26,2,FALSE))</f>
        <v>0</v>
      </c>
      <c r="AE223" s="42" t="e">
        <f t="shared" si="23"/>
        <v>#N/A</v>
      </c>
      <c r="AF223" s="42" t="str">
        <f t="shared" si="33"/>
        <v/>
      </c>
      <c r="AG223" s="42" t="str">
        <f t="shared" si="24"/>
        <v/>
      </c>
      <c r="AH223" s="47" t="str">
        <f t="shared" si="34"/>
        <v/>
      </c>
      <c r="AI223" s="47" t="str">
        <f t="shared" si="35"/>
        <v/>
      </c>
      <c r="AJ223" s="42" t="str">
        <f>IF(O223="",(IF(P223="Ansicht","INSERT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B223 &amp;" ,NULL ,'',349,"&amp; VLOOKUP(Q223,'AnmeldeVSS-Attribute'!$A$43:$B$50,2,FALSE)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B223 &amp;" ,"&amp; O223 &amp;" ,"&amp; IF(Q223="ja","'1'",IF(Q223="nein","'0'","'"&amp;Q223&amp;"'")) &amp;","&amp;IF(P223="enthält",349,IF(P223="nicht leer",352,IF(P223="enthält nicht",350,IF(P223="leer",351,0)))) &amp;" ,NULL ,GetDate() ,'scrc' ,GetDate() ,'scrc')")</f>
        <v/>
      </c>
      <c r="AK223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4" spans="1:37" x14ac:dyDescent="0.25">
      <c r="A224" s="68"/>
      <c r="B224" s="68"/>
      <c r="C224" s="68"/>
      <c r="D224" s="68"/>
      <c r="E224" s="66"/>
      <c r="F224" s="68"/>
      <c r="G224" s="68"/>
      <c r="H224" s="68"/>
      <c r="I224" s="68"/>
      <c r="J224" s="68"/>
      <c r="K224" s="68"/>
      <c r="L224" s="68"/>
      <c r="M224" s="66"/>
      <c r="N224" s="66"/>
      <c r="O224" s="66"/>
      <c r="P224" s="66"/>
      <c r="Q224" s="68"/>
      <c r="R224" s="66"/>
      <c r="S224" s="66"/>
      <c r="T224" s="65"/>
      <c r="U224" s="65"/>
      <c r="W224" s="42" t="e">
        <f>VLOOKUP($I224,'AnmeldeVSS-Attribute'!$A$2:$H$16,2,FALSE)</f>
        <v>#N/A</v>
      </c>
      <c r="X224" s="42" t="e">
        <f>VLOOKUP($I224,'AnmeldeVSS-Attribute'!$A$2:$H$16,3,FALSE)</f>
        <v>#N/A</v>
      </c>
      <c r="Y224" s="42" t="e">
        <f>VLOOKUP($I224,'AnmeldeVSS-Attribute'!$A$2:$H$16,4,FALSE)</f>
        <v>#N/A</v>
      </c>
      <c r="Z224" s="42" t="e">
        <f>VLOOKUP($I224,'AnmeldeVSS-Attribute'!$A$2:$H$16,5,FALSE)</f>
        <v>#N/A</v>
      </c>
      <c r="AA224" s="42" t="e">
        <f>VLOOKUP($I224,'AnmeldeVSS-Attribute'!$A$2:$H$16,6,FALSE)</f>
        <v>#N/A</v>
      </c>
      <c r="AB224" s="42" t="e">
        <f>VLOOKUP($I224,'AnmeldeVSS-Attribute'!$A$2:$H$16,7,FALSE)</f>
        <v>#N/A</v>
      </c>
      <c r="AC224" s="42" t="e">
        <f>IF(I224="Geldbetrag",J224,(IF(T224="",VLOOKUP($I224,'AnmeldeVSS-Attribute'!$A$2:$H$16,8,FALSE),T224)))</f>
        <v>#N/A</v>
      </c>
      <c r="AD224" s="42">
        <f>IF(S224="",0,VLOOKUP(S224,'AnmeldeVSS-Attribute'!$A$20:$B$26,2,FALSE))</f>
        <v>0</v>
      </c>
      <c r="AE224" s="42" t="e">
        <f t="shared" si="23"/>
        <v>#N/A</v>
      </c>
      <c r="AF224" s="42" t="str">
        <f t="shared" si="33"/>
        <v/>
      </c>
      <c r="AG224" s="42" t="str">
        <f t="shared" si="24"/>
        <v/>
      </c>
      <c r="AH224" s="47" t="str">
        <f t="shared" si="34"/>
        <v/>
      </c>
      <c r="AI224" s="47" t="str">
        <f t="shared" si="35"/>
        <v/>
      </c>
      <c r="AJ224" s="42" t="str">
        <f>IF(O224="",(IF(P224="Ansicht","INSERT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B224 &amp;" ,NULL ,'',349,"&amp; VLOOKUP(Q224,'AnmeldeVSS-Attribute'!$A$43:$B$50,2,FALSE)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B224 &amp;" ,"&amp; O224 &amp;" ,"&amp; IF(Q224="ja","'1'",IF(Q224="nein","'0'","'"&amp;Q224&amp;"'")) &amp;","&amp;IF(P224="enthält",349,IF(P224="nicht leer",352,IF(P224="enthält nicht",350,IF(P224="leer",351,0)))) &amp;" ,NULL ,GetDate() ,'scrc' ,GetDate() ,'scrc')")</f>
        <v/>
      </c>
      <c r="AK224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5" spans="1:37" x14ac:dyDescent="0.25">
      <c r="A225" s="68"/>
      <c r="B225" s="68"/>
      <c r="C225" s="68"/>
      <c r="D225" s="68"/>
      <c r="E225" s="66"/>
      <c r="F225" s="68"/>
      <c r="G225" s="68"/>
      <c r="H225" s="68"/>
      <c r="I225" s="68"/>
      <c r="J225" s="68"/>
      <c r="K225" s="68"/>
      <c r="L225" s="68"/>
      <c r="M225" s="66"/>
      <c r="N225" s="66"/>
      <c r="O225" s="66"/>
      <c r="P225" s="66"/>
      <c r="Q225" s="68"/>
      <c r="R225" s="66"/>
      <c r="S225" s="66"/>
      <c r="T225" s="65"/>
      <c r="U225" s="65"/>
      <c r="W225" s="42" t="e">
        <f>VLOOKUP($I225,'AnmeldeVSS-Attribute'!$A$2:$H$16,2,FALSE)</f>
        <v>#N/A</v>
      </c>
      <c r="X225" s="42" t="e">
        <f>VLOOKUP($I225,'AnmeldeVSS-Attribute'!$A$2:$H$16,3,FALSE)</f>
        <v>#N/A</v>
      </c>
      <c r="Y225" s="42" t="e">
        <f>VLOOKUP($I225,'AnmeldeVSS-Attribute'!$A$2:$H$16,4,FALSE)</f>
        <v>#N/A</v>
      </c>
      <c r="Z225" s="42" t="e">
        <f>VLOOKUP($I225,'AnmeldeVSS-Attribute'!$A$2:$H$16,5,FALSE)</f>
        <v>#N/A</v>
      </c>
      <c r="AA225" s="42" t="e">
        <f>VLOOKUP($I225,'AnmeldeVSS-Attribute'!$A$2:$H$16,6,FALSE)</f>
        <v>#N/A</v>
      </c>
      <c r="AB225" s="42" t="e">
        <f>VLOOKUP($I225,'AnmeldeVSS-Attribute'!$A$2:$H$16,7,FALSE)</f>
        <v>#N/A</v>
      </c>
      <c r="AC225" s="42" t="e">
        <f>IF(I225="Geldbetrag",J225,(IF(T225="",VLOOKUP($I225,'AnmeldeVSS-Attribute'!$A$2:$H$16,8,FALSE),T225)))</f>
        <v>#N/A</v>
      </c>
      <c r="AD225" s="42">
        <f>IF(S225="",0,VLOOKUP(S225,'AnmeldeVSS-Attribute'!$A$20:$B$26,2,FALSE))</f>
        <v>0</v>
      </c>
      <c r="AE225" s="42" t="e">
        <f t="shared" si="23"/>
        <v>#N/A</v>
      </c>
      <c r="AF225" s="42" t="str">
        <f t="shared" si="33"/>
        <v/>
      </c>
      <c r="AG225" s="42" t="str">
        <f t="shared" si="24"/>
        <v/>
      </c>
      <c r="AH225" s="47" t="str">
        <f t="shared" si="34"/>
        <v/>
      </c>
      <c r="AI225" s="47" t="str">
        <f t="shared" si="35"/>
        <v/>
      </c>
      <c r="AJ225" s="42" t="str">
        <f>IF(O225="",(IF(P225="Ansicht","INSERT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B225 &amp;" ,NULL ,'',349,"&amp; VLOOKUP(Q225,'AnmeldeVSS-Attribute'!$A$43:$B$50,2,FALSE)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B225 &amp;" ,"&amp; O225 &amp;" ,"&amp; IF(Q225="ja","'1'",IF(Q225="nein","'0'","'"&amp;Q225&amp;"'")) &amp;","&amp;IF(P225="enthält",349,IF(P225="nicht leer",352,IF(P225="enthält nicht",350,IF(P225="leer",351,0)))) &amp;" ,NULL ,GetDate() ,'scrc' ,GetDate() ,'scrc')")</f>
        <v/>
      </c>
      <c r="AK225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6" spans="1:37" x14ac:dyDescent="0.25">
      <c r="A226" s="66"/>
      <c r="B226" s="66"/>
      <c r="C226" s="68"/>
      <c r="D226" s="68"/>
      <c r="E226" s="66"/>
      <c r="F226" s="68"/>
      <c r="G226" s="68"/>
      <c r="H226" s="68"/>
      <c r="I226" s="68"/>
      <c r="J226" s="68"/>
      <c r="K226" s="68"/>
      <c r="L226" s="68"/>
      <c r="M226" s="66"/>
      <c r="N226" s="66"/>
      <c r="O226" s="66"/>
      <c r="P226" s="66"/>
      <c r="Q226" s="68"/>
      <c r="R226" s="66"/>
      <c r="S226" s="66"/>
      <c r="T226" s="65"/>
      <c r="U226" s="65"/>
      <c r="W226" s="42" t="e">
        <f>VLOOKUP($I226,'AnmeldeVSS-Attribute'!$A$2:$H$16,2,FALSE)</f>
        <v>#N/A</v>
      </c>
      <c r="X226" s="42" t="e">
        <f>VLOOKUP($I226,'AnmeldeVSS-Attribute'!$A$2:$H$16,3,FALSE)</f>
        <v>#N/A</v>
      </c>
      <c r="Y226" s="42" t="e">
        <f>VLOOKUP($I226,'AnmeldeVSS-Attribute'!$A$2:$H$16,4,FALSE)</f>
        <v>#N/A</v>
      </c>
      <c r="Z226" s="42" t="e">
        <f>VLOOKUP($I226,'AnmeldeVSS-Attribute'!$A$2:$H$16,5,FALSE)</f>
        <v>#N/A</v>
      </c>
      <c r="AA226" s="42" t="e">
        <f>VLOOKUP($I226,'AnmeldeVSS-Attribute'!$A$2:$H$16,6,FALSE)</f>
        <v>#N/A</v>
      </c>
      <c r="AB226" s="42" t="e">
        <f>VLOOKUP($I226,'AnmeldeVSS-Attribute'!$A$2:$H$16,7,FALSE)</f>
        <v>#N/A</v>
      </c>
      <c r="AC226" s="42" t="e">
        <f>IF(I226="Geldbetrag",J226,(IF(T226="",VLOOKUP($I226,'AnmeldeVSS-Attribute'!$A$2:$H$16,8,FALSE),T226)))</f>
        <v>#N/A</v>
      </c>
      <c r="AD226" s="42">
        <f>IF(S226="",0,VLOOKUP(S226,'AnmeldeVSS-Attribute'!$A$20:$B$26,2,FALSE))</f>
        <v>0</v>
      </c>
      <c r="AE226" s="42" t="e">
        <f t="shared" si="23"/>
        <v>#N/A</v>
      </c>
      <c r="AF226" s="42" t="str">
        <f t="shared" si="33"/>
        <v/>
      </c>
      <c r="AG226" s="42" t="str">
        <f t="shared" si="24"/>
        <v/>
      </c>
      <c r="AH226" s="47" t="str">
        <f t="shared" si="34"/>
        <v/>
      </c>
      <c r="AI226" s="47" t="str">
        <f t="shared" si="35"/>
        <v/>
      </c>
      <c r="AJ226" s="42" t="str">
        <f>IF(O226="",(IF(P226="Ansicht","INSERT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B226 &amp;" ,NULL ,'',349,"&amp; VLOOKUP(Q226,'AnmeldeVSS-Attribute'!$A$43:$B$50,2,FALSE)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B226 &amp;" ,"&amp; O226 &amp;" ,"&amp; IF(Q226="ja","'1'",IF(Q226="nein","'0'","'"&amp;Q226&amp;"'")) &amp;","&amp;IF(P226="enthält",349,IF(P226="nicht leer",352,IF(P226="enthält nicht",350,IF(P226="leer",351,0)))) &amp;" ,NULL ,GetDate() ,'scrc' ,GetDate() ,'scrc')")</f>
        <v/>
      </c>
      <c r="AK226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7" spans="1:37" x14ac:dyDescent="0.25">
      <c r="A227" s="66"/>
      <c r="B227" s="66"/>
      <c r="C227" s="68"/>
      <c r="D227" s="68"/>
      <c r="E227" s="66"/>
      <c r="F227" s="68"/>
      <c r="G227" s="68"/>
      <c r="H227" s="68"/>
      <c r="I227" s="68"/>
      <c r="J227" s="68"/>
      <c r="K227" s="68"/>
      <c r="L227" s="68"/>
      <c r="M227" s="66"/>
      <c r="N227" s="66"/>
      <c r="O227" s="66"/>
      <c r="P227" s="66"/>
      <c r="Q227" s="68"/>
      <c r="R227" s="66"/>
      <c r="S227" s="66"/>
      <c r="T227" s="65"/>
      <c r="U227" s="65"/>
      <c r="W227" s="42" t="e">
        <f>VLOOKUP($I227,'AnmeldeVSS-Attribute'!$A$2:$H$16,2,FALSE)</f>
        <v>#N/A</v>
      </c>
      <c r="X227" s="42" t="e">
        <f>VLOOKUP($I227,'AnmeldeVSS-Attribute'!$A$2:$H$16,3,FALSE)</f>
        <v>#N/A</v>
      </c>
      <c r="Y227" s="42" t="e">
        <f>VLOOKUP($I227,'AnmeldeVSS-Attribute'!$A$2:$H$16,4,FALSE)</f>
        <v>#N/A</v>
      </c>
      <c r="Z227" s="42" t="e">
        <f>VLOOKUP($I227,'AnmeldeVSS-Attribute'!$A$2:$H$16,5,FALSE)</f>
        <v>#N/A</v>
      </c>
      <c r="AA227" s="42" t="e">
        <f>VLOOKUP($I227,'AnmeldeVSS-Attribute'!$A$2:$H$16,6,FALSE)</f>
        <v>#N/A</v>
      </c>
      <c r="AB227" s="42" t="e">
        <f>VLOOKUP($I227,'AnmeldeVSS-Attribute'!$A$2:$H$16,7,FALSE)</f>
        <v>#N/A</v>
      </c>
      <c r="AC227" s="42" t="e">
        <f>IF(I227="Geldbetrag",J227,(IF(T227="",VLOOKUP($I227,'AnmeldeVSS-Attribute'!$A$2:$H$16,8,FALSE),T227)))</f>
        <v>#N/A</v>
      </c>
      <c r="AD227" s="42">
        <f>IF(S227="",0,VLOOKUP(S227,'AnmeldeVSS-Attribute'!$A$20:$B$26,2,FALSE))</f>
        <v>0</v>
      </c>
      <c r="AE227" s="42" t="e">
        <f t="shared" si="23"/>
        <v>#N/A</v>
      </c>
      <c r="AF227" s="42" t="str">
        <f t="shared" si="33"/>
        <v/>
      </c>
      <c r="AG227" s="42" t="str">
        <f t="shared" si="24"/>
        <v/>
      </c>
      <c r="AH227" s="47" t="str">
        <f t="shared" si="34"/>
        <v/>
      </c>
      <c r="AI227" s="47" t="str">
        <f t="shared" si="35"/>
        <v/>
      </c>
      <c r="AJ227" s="42" t="str">
        <f>IF(O227="",(IF(P227="Ansicht","INSERT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B227 &amp;" ,NULL ,'',349,"&amp; VLOOKUP(Q227,'AnmeldeVSS-Attribute'!$A$43:$B$50,2,FALSE)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B227 &amp;" ,"&amp; O227 &amp;" ,"&amp; IF(Q227="ja","'1'",IF(Q227="nein","'0'","'"&amp;Q227&amp;"'")) &amp;","&amp;IF(P227="enthält",349,IF(P227="nicht leer",352,IF(P227="enthält nicht",350,IF(P227="leer",351,0)))) &amp;" ,NULL ,GetDate() ,'scrc' ,GetDate() ,'scrc')")</f>
        <v/>
      </c>
      <c r="AK227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8" spans="1:37" x14ac:dyDescent="0.25">
      <c r="A228" s="36"/>
      <c r="B228" s="36"/>
      <c r="C228" s="68"/>
      <c r="D228" s="68"/>
      <c r="E228" s="66"/>
      <c r="F228" s="68"/>
      <c r="G228" s="68"/>
      <c r="H228" s="68"/>
      <c r="I228" s="68"/>
      <c r="J228" s="68"/>
      <c r="K228" s="68"/>
      <c r="L228" s="68"/>
      <c r="M228" s="66"/>
      <c r="N228" s="66"/>
      <c r="O228" s="66"/>
      <c r="P228" s="66"/>
      <c r="Q228" s="68"/>
      <c r="R228" s="66"/>
      <c r="S228" s="66"/>
      <c r="T228" s="65"/>
      <c r="U228" s="65"/>
      <c r="W228" s="42" t="e">
        <f>VLOOKUP($I228,'AnmeldeVSS-Attribute'!$A$2:$H$16,2,FALSE)</f>
        <v>#N/A</v>
      </c>
      <c r="X228" s="42" t="e">
        <f>VLOOKUP($I228,'AnmeldeVSS-Attribute'!$A$2:$H$16,3,FALSE)</f>
        <v>#N/A</v>
      </c>
      <c r="Y228" s="42" t="e">
        <f>VLOOKUP($I228,'AnmeldeVSS-Attribute'!$A$2:$H$16,4,FALSE)</f>
        <v>#N/A</v>
      </c>
      <c r="Z228" s="42" t="e">
        <f>VLOOKUP($I228,'AnmeldeVSS-Attribute'!$A$2:$H$16,5,FALSE)</f>
        <v>#N/A</v>
      </c>
      <c r="AA228" s="42" t="e">
        <f>VLOOKUP($I228,'AnmeldeVSS-Attribute'!$A$2:$H$16,6,FALSE)</f>
        <v>#N/A</v>
      </c>
      <c r="AB228" s="42" t="e">
        <f>VLOOKUP($I228,'AnmeldeVSS-Attribute'!$A$2:$H$16,7,FALSE)</f>
        <v>#N/A</v>
      </c>
      <c r="AC228" s="42" t="e">
        <f>IF(I228="Geldbetrag",J228,(IF(T228="",VLOOKUP($I228,'AnmeldeVSS-Attribute'!$A$2:$H$16,8,FALSE),T228)))</f>
        <v>#N/A</v>
      </c>
      <c r="AD228" s="42">
        <f>IF(S228="",0,VLOOKUP(S228,'AnmeldeVSS-Attribute'!$A$20:$B$26,2,FALSE))</f>
        <v>0</v>
      </c>
      <c r="AE228" s="42" t="e">
        <f t="shared" si="23"/>
        <v>#N/A</v>
      </c>
      <c r="AF228" s="42" t="str">
        <f t="shared" si="33"/>
        <v/>
      </c>
      <c r="AG228" s="42" t="str">
        <f t="shared" si="24"/>
        <v/>
      </c>
      <c r="AH228" s="47" t="str">
        <f t="shared" si="34"/>
        <v/>
      </c>
      <c r="AI228" s="47" t="str">
        <f t="shared" si="35"/>
        <v/>
      </c>
      <c r="AJ228" s="42" t="str">
        <f>IF(O228="",(IF(P228="Ansicht","INSERT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B228 &amp;" ,NULL ,'',349,"&amp; VLOOKUP(Q228,'AnmeldeVSS-Attribute'!$A$43:$B$50,2,FALSE)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B228 &amp;" ,"&amp; O228 &amp;" ,"&amp; IF(Q228="ja","'1'",IF(Q228="nein","'0'","'"&amp;Q228&amp;"'")) &amp;","&amp;IF(P228="enthält",349,IF(P228="nicht leer",352,IF(P228="enthält nicht",350,IF(P228="leer",351,0)))) &amp;" ,NULL ,GetDate() ,'scrc' ,GetDate() ,'scrc')")</f>
        <v/>
      </c>
      <c r="AK228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29" spans="1:37" x14ac:dyDescent="0.25">
      <c r="A229" s="66"/>
      <c r="B229" s="66"/>
      <c r="C229" s="68"/>
      <c r="D229" s="68"/>
      <c r="E229" s="66"/>
      <c r="F229" s="68"/>
      <c r="G229" s="68"/>
      <c r="H229" s="68"/>
      <c r="I229" s="68"/>
      <c r="J229" s="68"/>
      <c r="K229" s="68"/>
      <c r="L229" s="68"/>
      <c r="M229" s="66"/>
      <c r="N229" s="66"/>
      <c r="O229" s="66"/>
      <c r="P229" s="66"/>
      <c r="Q229" s="68"/>
      <c r="R229" s="66"/>
      <c r="S229" s="66"/>
      <c r="T229" s="65"/>
      <c r="U229" s="65"/>
      <c r="W229" s="42" t="e">
        <f>VLOOKUP($I229,'AnmeldeVSS-Attribute'!$A$2:$H$16,2,FALSE)</f>
        <v>#N/A</v>
      </c>
      <c r="X229" s="42" t="e">
        <f>VLOOKUP($I229,'AnmeldeVSS-Attribute'!$A$2:$H$16,3,FALSE)</f>
        <v>#N/A</v>
      </c>
      <c r="Y229" s="42" t="e">
        <f>VLOOKUP($I229,'AnmeldeVSS-Attribute'!$A$2:$H$16,4,FALSE)</f>
        <v>#N/A</v>
      </c>
      <c r="Z229" s="42" t="e">
        <f>VLOOKUP($I229,'AnmeldeVSS-Attribute'!$A$2:$H$16,5,FALSE)</f>
        <v>#N/A</v>
      </c>
      <c r="AA229" s="42" t="e">
        <f>VLOOKUP($I229,'AnmeldeVSS-Attribute'!$A$2:$H$16,6,FALSE)</f>
        <v>#N/A</v>
      </c>
      <c r="AB229" s="42" t="e">
        <f>VLOOKUP($I229,'AnmeldeVSS-Attribute'!$A$2:$H$16,7,FALSE)</f>
        <v>#N/A</v>
      </c>
      <c r="AC229" s="42" t="e">
        <f>IF(I229="Geldbetrag",J229,(IF(T229="",VLOOKUP($I229,'AnmeldeVSS-Attribute'!$A$2:$H$16,8,FALSE),T229)))</f>
        <v>#N/A</v>
      </c>
      <c r="AD229" s="42">
        <f>IF(S229="",0,VLOOKUP(S229,'AnmeldeVSS-Attribute'!$A$20:$B$26,2,FALSE))</f>
        <v>0</v>
      </c>
      <c r="AE229" s="42" t="e">
        <f t="shared" si="23"/>
        <v>#N/A</v>
      </c>
      <c r="AF229" s="42" t="str">
        <f t="shared" si="33"/>
        <v/>
      </c>
      <c r="AG229" s="42" t="str">
        <f t="shared" si="24"/>
        <v/>
      </c>
      <c r="AH229" s="47" t="str">
        <f t="shared" si="34"/>
        <v/>
      </c>
      <c r="AI229" s="47" t="str">
        <f t="shared" si="35"/>
        <v/>
      </c>
      <c r="AJ229" s="42" t="str">
        <f>IF(O229="",(IF(P229="Ansicht","INSERT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B229 &amp;" ,NULL ,'',349,"&amp; VLOOKUP(Q229,'AnmeldeVSS-Attribute'!$A$43:$B$50,2,FALSE)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B229 &amp;" ,"&amp; O229 &amp;" ,"&amp; IF(Q229="ja","'1'",IF(Q229="nein","'0'","'"&amp;Q229&amp;"'")) &amp;","&amp;IF(P229="enthält",349,IF(P229="nicht leer",352,IF(P229="enthält nicht",350,IF(P229="leer",351,0)))) &amp;" ,NULL ,GetDate() ,'scrc' ,GetDate() ,'scrc')")</f>
        <v/>
      </c>
      <c r="AK229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0" spans="1:37" x14ac:dyDescent="0.25">
      <c r="A230" s="36"/>
      <c r="B230" s="36"/>
      <c r="C230" s="68"/>
      <c r="D230" s="68"/>
      <c r="E230" s="66"/>
      <c r="F230" s="66"/>
      <c r="G230" s="68"/>
      <c r="H230" s="68"/>
      <c r="I230" s="68"/>
      <c r="J230" s="66"/>
      <c r="K230" s="66"/>
      <c r="L230" s="66"/>
      <c r="M230" s="66"/>
      <c r="N230" s="66"/>
      <c r="O230" s="68"/>
      <c r="P230" s="66"/>
      <c r="Q230" s="68"/>
      <c r="R230" s="66"/>
      <c r="S230" s="66"/>
      <c r="T230" s="65"/>
      <c r="U230" s="65"/>
      <c r="W230" s="42" t="e">
        <f>VLOOKUP($I230,'AnmeldeVSS-Attribute'!$A$2:$H$16,2,FALSE)</f>
        <v>#N/A</v>
      </c>
      <c r="X230" s="42" t="e">
        <f>VLOOKUP($I230,'AnmeldeVSS-Attribute'!$A$2:$H$16,3,FALSE)</f>
        <v>#N/A</v>
      </c>
      <c r="Y230" s="42" t="e">
        <f>VLOOKUP($I230,'AnmeldeVSS-Attribute'!$A$2:$H$16,4,FALSE)</f>
        <v>#N/A</v>
      </c>
      <c r="Z230" s="42" t="e">
        <f>VLOOKUP($I230,'AnmeldeVSS-Attribute'!$A$2:$H$16,5,FALSE)</f>
        <v>#N/A</v>
      </c>
      <c r="AA230" s="42" t="e">
        <f>VLOOKUP($I230,'AnmeldeVSS-Attribute'!$A$2:$H$16,6,FALSE)</f>
        <v>#N/A</v>
      </c>
      <c r="AB230" s="42" t="e">
        <f>VLOOKUP($I230,'AnmeldeVSS-Attribute'!$A$2:$H$16,7,FALSE)</f>
        <v>#N/A</v>
      </c>
      <c r="AC230" s="42" t="e">
        <f>IF(I230="Geldbetrag",J230,(IF(T230="",VLOOKUP($I230,'AnmeldeVSS-Attribute'!$A$2:$H$16,8,FALSE),T230)))</f>
        <v>#N/A</v>
      </c>
      <c r="AD230" s="42">
        <f>IF(S230="",0,VLOOKUP(S230,'AnmeldeVSS-Attribute'!$A$20:$B$26,2,FALSE))</f>
        <v>0</v>
      </c>
      <c r="AE230" s="42" t="e">
        <f t="shared" si="23"/>
        <v>#N/A</v>
      </c>
      <c r="AF230" s="42" t="str">
        <f t="shared" si="33"/>
        <v/>
      </c>
      <c r="AG230" s="42" t="str">
        <f t="shared" si="24"/>
        <v/>
      </c>
      <c r="AH230" s="47" t="str">
        <f t="shared" si="34"/>
        <v/>
      </c>
      <c r="AI230" s="47" t="str">
        <f t="shared" si="35"/>
        <v/>
      </c>
      <c r="AJ230" s="42" t="str">
        <f>IF(O230="",(IF(P230="Ansicht","INSERT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B230 &amp;" ,NULL ,'',349,"&amp; VLOOKUP(Q230,'AnmeldeVSS-Attribute'!$A$43:$B$50,2,FALSE)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B230 &amp;" ,"&amp; O230 &amp;" ,"&amp; IF(Q230="ja","'1'",IF(Q230="nein","'0'","'"&amp;Q230&amp;"'")) &amp;","&amp;IF(P230="enthält",349,IF(P230="nicht leer",352,IF(P230="enthält nicht",350,IF(P230="leer",351,0)))) &amp;" ,NULL ,GetDate() ,'scrc' ,GetDate() ,'scrc')")</f>
        <v/>
      </c>
      <c r="AK230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1" spans="1:37" x14ac:dyDescent="0.25">
      <c r="A231" s="66"/>
      <c r="B231" s="66"/>
      <c r="C231" s="68"/>
      <c r="D231" s="68"/>
      <c r="E231" s="66"/>
      <c r="F231" s="68"/>
      <c r="G231" s="68"/>
      <c r="H231" s="68"/>
      <c r="I231" s="68"/>
      <c r="J231" s="68"/>
      <c r="K231" s="68"/>
      <c r="L231" s="68"/>
      <c r="M231" s="66"/>
      <c r="N231" s="66"/>
      <c r="O231" s="66"/>
      <c r="P231" s="66"/>
      <c r="Q231" s="68"/>
      <c r="R231" s="66"/>
      <c r="S231" s="66"/>
      <c r="T231" s="65"/>
      <c r="U231" s="65"/>
      <c r="W231" s="42" t="e">
        <f>VLOOKUP($I231,'AnmeldeVSS-Attribute'!$A$2:$H$16,2,FALSE)</f>
        <v>#N/A</v>
      </c>
      <c r="X231" s="42" t="e">
        <f>VLOOKUP($I231,'AnmeldeVSS-Attribute'!$A$2:$H$16,3,FALSE)</f>
        <v>#N/A</v>
      </c>
      <c r="Y231" s="42" t="e">
        <f>VLOOKUP($I231,'AnmeldeVSS-Attribute'!$A$2:$H$16,4,FALSE)</f>
        <v>#N/A</v>
      </c>
      <c r="Z231" s="42" t="e">
        <f>VLOOKUP($I231,'AnmeldeVSS-Attribute'!$A$2:$H$16,5,FALSE)</f>
        <v>#N/A</v>
      </c>
      <c r="AA231" s="42" t="e">
        <f>VLOOKUP($I231,'AnmeldeVSS-Attribute'!$A$2:$H$16,6,FALSE)</f>
        <v>#N/A</v>
      </c>
      <c r="AB231" s="42" t="e">
        <f>VLOOKUP($I231,'AnmeldeVSS-Attribute'!$A$2:$H$16,7,FALSE)</f>
        <v>#N/A</v>
      </c>
      <c r="AC231" s="42" t="e">
        <f>IF(I231="Geldbetrag",J231,(IF(T231="",VLOOKUP($I231,'AnmeldeVSS-Attribute'!$A$2:$H$16,8,FALSE),T231)))</f>
        <v>#N/A</v>
      </c>
      <c r="AD231" s="42">
        <f>IF(S231="",0,VLOOKUP(S231,'AnmeldeVSS-Attribute'!$A$20:$B$26,2,FALSE))</f>
        <v>0</v>
      </c>
      <c r="AE231" s="42" t="e">
        <f t="shared" si="23"/>
        <v>#N/A</v>
      </c>
      <c r="AF231" s="42" t="str">
        <f t="shared" si="33"/>
        <v/>
      </c>
      <c r="AG231" s="42" t="str">
        <f t="shared" si="24"/>
        <v/>
      </c>
      <c r="AH231" s="47" t="str">
        <f t="shared" si="34"/>
        <v/>
      </c>
      <c r="AI231" s="47" t="str">
        <f t="shared" si="35"/>
        <v/>
      </c>
      <c r="AJ231" s="42" t="str">
        <f>IF(O231="",(IF(P231="Ansicht","INSERT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B231 &amp;" ,NULL ,'',349,"&amp; VLOOKUP(Q231,'AnmeldeVSS-Attribute'!$A$43:$B$50,2,FALSE)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B231 &amp;" ,"&amp; O231 &amp;" ,"&amp; IF(Q231="ja","'1'",IF(Q231="nein","'0'","'"&amp;Q231&amp;"'")) &amp;","&amp;IF(P231="enthält",349,IF(P231="nicht leer",352,IF(P231="enthält nicht",350,IF(P231="leer",351,0)))) &amp;" ,NULL ,GetDate() ,'scrc' ,GetDate() ,'scrc')")</f>
        <v/>
      </c>
      <c r="AK231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2" spans="1:37" x14ac:dyDescent="0.25">
      <c r="A232" s="36"/>
      <c r="B232" s="36"/>
      <c r="C232" s="68"/>
      <c r="D232" s="68"/>
      <c r="E232" s="66"/>
      <c r="F232" s="68"/>
      <c r="G232" s="68"/>
      <c r="H232" s="68"/>
      <c r="I232" s="68"/>
      <c r="J232" s="68"/>
      <c r="K232" s="68"/>
      <c r="L232" s="68"/>
      <c r="M232" s="66"/>
      <c r="N232" s="66"/>
      <c r="O232" s="68"/>
      <c r="P232" s="66"/>
      <c r="Q232" s="68"/>
      <c r="R232" s="66"/>
      <c r="S232" s="66"/>
      <c r="T232" s="65"/>
      <c r="U232" s="65"/>
      <c r="W232" s="42" t="e">
        <f>VLOOKUP($I232,'AnmeldeVSS-Attribute'!$A$2:$H$16,2,FALSE)</f>
        <v>#N/A</v>
      </c>
      <c r="X232" s="42" t="e">
        <f>VLOOKUP($I232,'AnmeldeVSS-Attribute'!$A$2:$H$16,3,FALSE)</f>
        <v>#N/A</v>
      </c>
      <c r="Y232" s="42" t="e">
        <f>VLOOKUP($I232,'AnmeldeVSS-Attribute'!$A$2:$H$16,4,FALSE)</f>
        <v>#N/A</v>
      </c>
      <c r="Z232" s="42" t="e">
        <f>VLOOKUP($I232,'AnmeldeVSS-Attribute'!$A$2:$H$16,5,FALSE)</f>
        <v>#N/A</v>
      </c>
      <c r="AA232" s="42" t="e">
        <f>VLOOKUP($I232,'AnmeldeVSS-Attribute'!$A$2:$H$16,6,FALSE)</f>
        <v>#N/A</v>
      </c>
      <c r="AB232" s="42" t="e">
        <f>VLOOKUP($I232,'AnmeldeVSS-Attribute'!$A$2:$H$16,7,FALSE)</f>
        <v>#N/A</v>
      </c>
      <c r="AC232" s="42" t="e">
        <f>IF(I232="Geldbetrag",J232,(IF(T232="",VLOOKUP($I232,'AnmeldeVSS-Attribute'!$A$2:$H$16,8,FALSE),T232)))</f>
        <v>#N/A</v>
      </c>
      <c r="AD232" s="42">
        <f>IF(S232="",0,VLOOKUP(S232,'AnmeldeVSS-Attribute'!$A$20:$B$26,2,FALSE))</f>
        <v>0</v>
      </c>
      <c r="AE232" s="42" t="e">
        <f t="shared" si="23"/>
        <v>#N/A</v>
      </c>
      <c r="AF232" s="42" t="str">
        <f t="shared" si="33"/>
        <v/>
      </c>
      <c r="AG232" s="42" t="str">
        <f t="shared" si="24"/>
        <v/>
      </c>
      <c r="AH232" s="47" t="str">
        <f t="shared" si="34"/>
        <v/>
      </c>
      <c r="AI232" s="47" t="str">
        <f t="shared" si="35"/>
        <v/>
      </c>
      <c r="AJ232" s="42" t="str">
        <f>IF(O232="",(IF(P232="Ansicht","INSERT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B232 &amp;" ,NULL ,'',349,"&amp; VLOOKUP(Q232,'AnmeldeVSS-Attribute'!$A$43:$B$50,2,FALSE)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B232 &amp;" ,"&amp; O232 &amp;" ,"&amp; IF(Q232="ja","'1'",IF(Q232="nein","'0'","'"&amp;Q232&amp;"'")) &amp;","&amp;IF(P232="enthält",349,IF(P232="nicht leer",352,IF(P232="enthält nicht",350,IF(P232="leer",351,0)))) &amp;" ,NULL ,GetDate() ,'scrc' ,GetDate() ,'scrc')")</f>
        <v/>
      </c>
      <c r="AK232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3" spans="1:37" x14ac:dyDescent="0.25">
      <c r="A233" s="66"/>
      <c r="B233" s="66"/>
      <c r="C233" s="68"/>
      <c r="D233" s="68"/>
      <c r="E233" s="66"/>
      <c r="F233" s="68"/>
      <c r="G233" s="68"/>
      <c r="H233" s="68"/>
      <c r="I233" s="68"/>
      <c r="J233" s="68"/>
      <c r="K233" s="68"/>
      <c r="L233" s="68"/>
      <c r="M233" s="66"/>
      <c r="N233" s="66"/>
      <c r="O233" s="66"/>
      <c r="P233" s="66"/>
      <c r="Q233" s="68"/>
      <c r="R233" s="66"/>
      <c r="S233" s="66"/>
      <c r="T233" s="65"/>
      <c r="U233" s="65"/>
      <c r="W233" s="42" t="e">
        <f>VLOOKUP($I233,'AnmeldeVSS-Attribute'!$A$2:$H$16,2,FALSE)</f>
        <v>#N/A</v>
      </c>
      <c r="X233" s="42" t="e">
        <f>VLOOKUP($I233,'AnmeldeVSS-Attribute'!$A$2:$H$16,3,FALSE)</f>
        <v>#N/A</v>
      </c>
      <c r="Y233" s="42" t="e">
        <f>VLOOKUP($I233,'AnmeldeVSS-Attribute'!$A$2:$H$16,4,FALSE)</f>
        <v>#N/A</v>
      </c>
      <c r="Z233" s="42" t="e">
        <f>VLOOKUP($I233,'AnmeldeVSS-Attribute'!$A$2:$H$16,5,FALSE)</f>
        <v>#N/A</v>
      </c>
      <c r="AA233" s="42" t="e">
        <f>VLOOKUP($I233,'AnmeldeVSS-Attribute'!$A$2:$H$16,6,FALSE)</f>
        <v>#N/A</v>
      </c>
      <c r="AB233" s="42" t="e">
        <f>VLOOKUP($I233,'AnmeldeVSS-Attribute'!$A$2:$H$16,7,FALSE)</f>
        <v>#N/A</v>
      </c>
      <c r="AC233" s="42" t="e">
        <f>IF(I233="Geldbetrag",J233,(IF(T233="",VLOOKUP($I233,'AnmeldeVSS-Attribute'!$A$2:$H$16,8,FALSE),T233)))</f>
        <v>#N/A</v>
      </c>
      <c r="AD233" s="42">
        <f>IF(S233="",0,VLOOKUP(S233,'AnmeldeVSS-Attribute'!$A$20:$B$26,2,FALSE))</f>
        <v>0</v>
      </c>
      <c r="AE233" s="42" t="e">
        <f t="shared" si="23"/>
        <v>#N/A</v>
      </c>
      <c r="AF233" s="42" t="str">
        <f t="shared" si="33"/>
        <v/>
      </c>
      <c r="AG233" s="42" t="str">
        <f t="shared" si="24"/>
        <v/>
      </c>
      <c r="AH233" s="47" t="str">
        <f t="shared" si="34"/>
        <v/>
      </c>
      <c r="AI233" s="47" t="str">
        <f t="shared" si="35"/>
        <v/>
      </c>
      <c r="AJ233" s="42" t="str">
        <f>IF(O233="",(IF(P233="Ansicht","INSERT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B233 &amp;" ,NULL ,'',349,"&amp; VLOOKUP(Q233,'AnmeldeVSS-Attribute'!$A$43:$B$50,2,FALSE)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B233 &amp;" ,"&amp; O233 &amp;" ,"&amp; IF(Q233="ja","'1'",IF(Q233="nein","'0'","'"&amp;Q233&amp;"'")) &amp;","&amp;IF(P233="enthält",349,IF(P233="nicht leer",352,IF(P233="enthält nicht",350,IF(P233="leer",351,0)))) &amp;" ,NULL ,GetDate() ,'scrc' ,GetDate() ,'scrc')")</f>
        <v/>
      </c>
      <c r="AK233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4" spans="1:37" x14ac:dyDescent="0.25">
      <c r="A234" s="66"/>
      <c r="B234" s="66"/>
      <c r="C234" s="68"/>
      <c r="D234" s="68"/>
      <c r="E234" s="66"/>
      <c r="F234" s="68"/>
      <c r="G234" s="68"/>
      <c r="H234" s="68"/>
      <c r="I234" s="68"/>
      <c r="J234" s="68"/>
      <c r="K234" s="68"/>
      <c r="L234" s="68"/>
      <c r="M234" s="66"/>
      <c r="N234" s="66"/>
      <c r="O234" s="66"/>
      <c r="P234" s="66"/>
      <c r="Q234" s="68"/>
      <c r="R234" s="66"/>
      <c r="S234" s="66"/>
      <c r="T234" s="65"/>
      <c r="U234" s="65"/>
      <c r="W234" s="42" t="e">
        <f>VLOOKUP($I234,'AnmeldeVSS-Attribute'!$A$2:$H$16,2,FALSE)</f>
        <v>#N/A</v>
      </c>
      <c r="X234" s="42" t="e">
        <f>VLOOKUP($I234,'AnmeldeVSS-Attribute'!$A$2:$H$16,3,FALSE)</f>
        <v>#N/A</v>
      </c>
      <c r="Y234" s="42" t="e">
        <f>VLOOKUP($I234,'AnmeldeVSS-Attribute'!$A$2:$H$16,4,FALSE)</f>
        <v>#N/A</v>
      </c>
      <c r="Z234" s="42" t="e">
        <f>VLOOKUP($I234,'AnmeldeVSS-Attribute'!$A$2:$H$16,5,FALSE)</f>
        <v>#N/A</v>
      </c>
      <c r="AA234" s="42" t="e">
        <f>VLOOKUP($I234,'AnmeldeVSS-Attribute'!$A$2:$H$16,6,FALSE)</f>
        <v>#N/A</v>
      </c>
      <c r="AB234" s="42" t="e">
        <f>VLOOKUP($I234,'AnmeldeVSS-Attribute'!$A$2:$H$16,7,FALSE)</f>
        <v>#N/A</v>
      </c>
      <c r="AC234" s="42" t="e">
        <f>IF(I234="Geldbetrag",J234,(IF(T234="",VLOOKUP($I234,'AnmeldeVSS-Attribute'!$A$2:$H$16,8,FALSE),T234)))</f>
        <v>#N/A</v>
      </c>
      <c r="AD234" s="42">
        <f>IF(S234="",0,VLOOKUP(S234,'AnmeldeVSS-Attribute'!$A$20:$B$26,2,FALSE))</f>
        <v>0</v>
      </c>
      <c r="AE234" s="42" t="e">
        <f t="shared" si="23"/>
        <v>#N/A</v>
      </c>
      <c r="AF234" s="42" t="str">
        <f t="shared" si="33"/>
        <v/>
      </c>
      <c r="AG234" s="42" t="str">
        <f t="shared" si="24"/>
        <v/>
      </c>
      <c r="AH234" s="47" t="str">
        <f t="shared" si="34"/>
        <v/>
      </c>
      <c r="AI234" s="47" t="str">
        <f t="shared" si="35"/>
        <v/>
      </c>
      <c r="AJ234" s="42" t="str">
        <f>IF(O234="",(IF(P234="Ansicht","INSERT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B234 &amp;" ,NULL ,'',349,"&amp; VLOOKUP(Q234,'AnmeldeVSS-Attribute'!$A$43:$B$50,2,FALSE)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B234 &amp;" ,"&amp; O234 &amp;" ,"&amp; IF(Q234="ja","'1'",IF(Q234="nein","'0'","'"&amp;Q234&amp;"'")) &amp;","&amp;IF(P234="enthält",349,IF(P234="nicht leer",352,IF(P234="enthält nicht",350,IF(P234="leer",351,0)))) &amp;" ,NULL ,GetDate() ,'scrc' ,GetDate() ,'scrc')")</f>
        <v/>
      </c>
      <c r="AK234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5" spans="1:37" x14ac:dyDescent="0.25">
      <c r="A235" s="66"/>
      <c r="B235" s="66"/>
      <c r="C235" s="68"/>
      <c r="D235" s="68"/>
      <c r="E235" s="66"/>
      <c r="F235" s="68"/>
      <c r="G235" s="68"/>
      <c r="H235" s="68"/>
      <c r="I235" s="68"/>
      <c r="J235" s="68"/>
      <c r="K235" s="68"/>
      <c r="L235" s="68"/>
      <c r="M235" s="66"/>
      <c r="N235" s="66"/>
      <c r="O235" s="66"/>
      <c r="P235" s="66"/>
      <c r="Q235" s="68"/>
      <c r="R235" s="66"/>
      <c r="S235" s="66"/>
      <c r="T235" s="65"/>
      <c r="U235" s="65"/>
      <c r="W235" s="42" t="e">
        <f>VLOOKUP($I235,'AnmeldeVSS-Attribute'!$A$2:$H$16,2,FALSE)</f>
        <v>#N/A</v>
      </c>
      <c r="X235" s="42" t="e">
        <f>VLOOKUP($I235,'AnmeldeVSS-Attribute'!$A$2:$H$16,3,FALSE)</f>
        <v>#N/A</v>
      </c>
      <c r="Y235" s="42" t="e">
        <f>VLOOKUP($I235,'AnmeldeVSS-Attribute'!$A$2:$H$16,4,FALSE)</f>
        <v>#N/A</v>
      </c>
      <c r="Z235" s="42" t="e">
        <f>VLOOKUP($I235,'AnmeldeVSS-Attribute'!$A$2:$H$16,5,FALSE)</f>
        <v>#N/A</v>
      </c>
      <c r="AA235" s="42" t="e">
        <f>VLOOKUP($I235,'AnmeldeVSS-Attribute'!$A$2:$H$16,6,FALSE)</f>
        <v>#N/A</v>
      </c>
      <c r="AB235" s="42" t="e">
        <f>VLOOKUP($I235,'AnmeldeVSS-Attribute'!$A$2:$H$16,7,FALSE)</f>
        <v>#N/A</v>
      </c>
      <c r="AC235" s="42" t="e">
        <f>IF(I235="Geldbetrag",J235,(IF(T235="",VLOOKUP($I235,'AnmeldeVSS-Attribute'!$A$2:$H$16,8,FALSE),T235)))</f>
        <v>#N/A</v>
      </c>
      <c r="AD235" s="42">
        <f>IF(S235="",0,VLOOKUP(S235,'AnmeldeVSS-Attribute'!$A$20:$B$26,2,FALSE))</f>
        <v>0</v>
      </c>
      <c r="AE235" s="42" t="e">
        <f t="shared" si="23"/>
        <v>#N/A</v>
      </c>
      <c r="AF235" s="42" t="str">
        <f t="shared" si="33"/>
        <v/>
      </c>
      <c r="AG235" s="42" t="str">
        <f t="shared" si="24"/>
        <v/>
      </c>
      <c r="AH235" s="47" t="str">
        <f t="shared" si="34"/>
        <v/>
      </c>
      <c r="AI235" s="47" t="str">
        <f t="shared" si="35"/>
        <v/>
      </c>
      <c r="AJ235" s="42" t="str">
        <f>IF(O235="",(IF(P235="Ansicht","INSERT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B235 &amp;" ,NULL ,'',349,"&amp; VLOOKUP(Q235,'AnmeldeVSS-Attribute'!$A$43:$B$50,2,FALSE)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B235 &amp;" ,"&amp; O235 &amp;" ,"&amp; IF(Q235="ja","'1'",IF(Q235="nein","'0'","'"&amp;Q235&amp;"'")) &amp;","&amp;IF(P235="enthält",349,IF(P235="nicht leer",352,IF(P235="enthält nicht",350,IF(P235="leer",351,0)))) &amp;" ,NULL ,GetDate() ,'scrc' ,GetDate() ,'scrc')")</f>
        <v/>
      </c>
      <c r="AK235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6" spans="1:37" x14ac:dyDescent="0.25">
      <c r="A236" s="66"/>
      <c r="B236" s="66"/>
      <c r="C236" s="68"/>
      <c r="D236" s="68"/>
      <c r="E236" s="66"/>
      <c r="F236" s="68"/>
      <c r="G236" s="68"/>
      <c r="H236" s="68"/>
      <c r="I236" s="68"/>
      <c r="J236" s="68"/>
      <c r="K236" s="68"/>
      <c r="L236" s="68"/>
      <c r="M236" s="66"/>
      <c r="N236" s="66"/>
      <c r="O236" s="66"/>
      <c r="P236" s="66"/>
      <c r="Q236" s="68"/>
      <c r="R236" s="66"/>
      <c r="S236" s="66"/>
      <c r="T236" s="65"/>
      <c r="U236" s="65"/>
      <c r="W236" s="42" t="e">
        <f>VLOOKUP($I236,'AnmeldeVSS-Attribute'!$A$2:$H$16,2,FALSE)</f>
        <v>#N/A</v>
      </c>
      <c r="X236" s="42" t="e">
        <f>VLOOKUP($I236,'AnmeldeVSS-Attribute'!$A$2:$H$16,3,FALSE)</f>
        <v>#N/A</v>
      </c>
      <c r="Y236" s="42" t="e">
        <f>VLOOKUP($I236,'AnmeldeVSS-Attribute'!$A$2:$H$16,4,FALSE)</f>
        <v>#N/A</v>
      </c>
      <c r="Z236" s="42" t="e">
        <f>VLOOKUP($I236,'AnmeldeVSS-Attribute'!$A$2:$H$16,5,FALSE)</f>
        <v>#N/A</v>
      </c>
      <c r="AA236" s="42" t="e">
        <f>VLOOKUP($I236,'AnmeldeVSS-Attribute'!$A$2:$H$16,6,FALSE)</f>
        <v>#N/A</v>
      </c>
      <c r="AB236" s="42" t="e">
        <f>VLOOKUP($I236,'AnmeldeVSS-Attribute'!$A$2:$H$16,7,FALSE)</f>
        <v>#N/A</v>
      </c>
      <c r="AC236" s="42" t="e">
        <f>IF(I236="Geldbetrag",J236,(IF(T236="",VLOOKUP($I236,'AnmeldeVSS-Attribute'!$A$2:$H$16,8,FALSE),T236)))</f>
        <v>#N/A</v>
      </c>
      <c r="AD236" s="42">
        <f>IF(S236="",0,VLOOKUP(S236,'AnmeldeVSS-Attribute'!$A$20:$B$26,2,FALSE))</f>
        <v>0</v>
      </c>
      <c r="AE236" s="42" t="e">
        <f t="shared" si="23"/>
        <v>#N/A</v>
      </c>
      <c r="AF236" s="42" t="str">
        <f t="shared" si="33"/>
        <v/>
      </c>
      <c r="AG236" s="42" t="str">
        <f t="shared" si="24"/>
        <v/>
      </c>
      <c r="AH236" s="47" t="str">
        <f t="shared" si="34"/>
        <v/>
      </c>
      <c r="AI236" s="47" t="str">
        <f t="shared" si="35"/>
        <v/>
      </c>
      <c r="AJ236" s="42" t="str">
        <f>IF(O236="",(IF(P236="Ansicht","INSERT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B236 &amp;" ,NULL ,'',349,"&amp; VLOOKUP(Q236,'AnmeldeVSS-Attribute'!$A$43:$B$50,2,FALSE)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B236 &amp;" ,"&amp; O236 &amp;" ,"&amp; IF(Q236="ja","'1'",IF(Q236="nein","'0'","'"&amp;Q236&amp;"'")) &amp;","&amp;IF(P236="enthält",349,IF(P236="nicht leer",352,IF(P236="enthält nicht",350,IF(P236="leer",351,0)))) &amp;" ,NULL ,GetDate() ,'scrc' ,GetDate() ,'scrc')")</f>
        <v/>
      </c>
      <c r="AK236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7" spans="1:37" x14ac:dyDescent="0.25">
      <c r="A237" s="66"/>
      <c r="B237" s="66"/>
      <c r="C237" s="68"/>
      <c r="D237" s="68"/>
      <c r="E237" s="66"/>
      <c r="F237" s="68"/>
      <c r="G237" s="68"/>
      <c r="H237" s="68"/>
      <c r="I237" s="68"/>
      <c r="J237" s="68"/>
      <c r="K237" s="68"/>
      <c r="L237" s="68"/>
      <c r="M237" s="66"/>
      <c r="N237" s="66"/>
      <c r="O237" s="66"/>
      <c r="P237" s="66"/>
      <c r="Q237" s="68"/>
      <c r="R237" s="66"/>
      <c r="S237" s="66"/>
      <c r="T237" s="65"/>
      <c r="U237" s="65"/>
      <c r="W237" s="42" t="e">
        <f>VLOOKUP($I237,'AnmeldeVSS-Attribute'!$A$2:$H$16,2,FALSE)</f>
        <v>#N/A</v>
      </c>
      <c r="X237" s="42" t="e">
        <f>VLOOKUP($I237,'AnmeldeVSS-Attribute'!$A$2:$H$16,3,FALSE)</f>
        <v>#N/A</v>
      </c>
      <c r="Y237" s="42" t="e">
        <f>VLOOKUP($I237,'AnmeldeVSS-Attribute'!$A$2:$H$16,4,FALSE)</f>
        <v>#N/A</v>
      </c>
      <c r="Z237" s="42" t="e">
        <f>VLOOKUP($I237,'AnmeldeVSS-Attribute'!$A$2:$H$16,5,FALSE)</f>
        <v>#N/A</v>
      </c>
      <c r="AA237" s="42" t="e">
        <f>VLOOKUP($I237,'AnmeldeVSS-Attribute'!$A$2:$H$16,6,FALSE)</f>
        <v>#N/A</v>
      </c>
      <c r="AB237" s="42" t="e">
        <f>VLOOKUP($I237,'AnmeldeVSS-Attribute'!$A$2:$H$16,7,FALSE)</f>
        <v>#N/A</v>
      </c>
      <c r="AC237" s="42" t="e">
        <f>IF(I237="Geldbetrag",J237,(IF(T237="",VLOOKUP($I237,'AnmeldeVSS-Attribute'!$A$2:$H$16,8,FALSE),T237)))</f>
        <v>#N/A</v>
      </c>
      <c r="AD237" s="42">
        <f>IF(S237="",0,VLOOKUP(S237,'AnmeldeVSS-Attribute'!$A$20:$B$26,2,FALSE))</f>
        <v>0</v>
      </c>
      <c r="AE237" s="42" t="e">
        <f t="shared" si="23"/>
        <v>#N/A</v>
      </c>
      <c r="AF237" s="42" t="str">
        <f t="shared" si="33"/>
        <v/>
      </c>
      <c r="AG237" s="42" t="str">
        <f t="shared" si="24"/>
        <v/>
      </c>
      <c r="AH237" s="47" t="str">
        <f t="shared" si="34"/>
        <v/>
      </c>
      <c r="AI237" s="47" t="str">
        <f t="shared" si="35"/>
        <v/>
      </c>
      <c r="AJ237" s="42" t="str">
        <f>IF(O237="",(IF(P237="Ansicht","INSERT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B237 &amp;" ,NULL ,'',349,"&amp; VLOOKUP(Q237,'AnmeldeVSS-Attribute'!$A$43:$B$50,2,FALSE)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B237 &amp;" ,"&amp; O237 &amp;" ,"&amp; IF(Q237="ja","'1'",IF(Q237="nein","'0'","'"&amp;Q237&amp;"'")) &amp;","&amp;IF(P237="enthält",349,IF(P237="nicht leer",352,IF(P237="enthält nicht",350,IF(P237="leer",351,0)))) &amp;" ,NULL ,GetDate() ,'scrc' ,GetDate() ,'scrc')")</f>
        <v/>
      </c>
      <c r="AK237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8" spans="1:37" x14ac:dyDescent="0.25">
      <c r="A238" s="36"/>
      <c r="B238" s="36"/>
      <c r="C238" s="68"/>
      <c r="D238" s="68"/>
      <c r="E238" s="66"/>
      <c r="F238" s="68"/>
      <c r="G238" s="68"/>
      <c r="H238" s="68"/>
      <c r="I238" s="68"/>
      <c r="J238" s="68"/>
      <c r="K238" s="68"/>
      <c r="L238" s="68"/>
      <c r="M238" s="66"/>
      <c r="N238" s="66"/>
      <c r="O238" s="66"/>
      <c r="P238" s="66"/>
      <c r="Q238" s="68"/>
      <c r="R238" s="66"/>
      <c r="S238" s="66"/>
      <c r="T238" s="65"/>
      <c r="U238" s="65"/>
      <c r="W238" s="42" t="e">
        <f>VLOOKUP($I238,'AnmeldeVSS-Attribute'!$A$2:$H$16,2,FALSE)</f>
        <v>#N/A</v>
      </c>
      <c r="X238" s="42" t="e">
        <f>VLOOKUP($I238,'AnmeldeVSS-Attribute'!$A$2:$H$16,3,FALSE)</f>
        <v>#N/A</v>
      </c>
      <c r="Y238" s="42" t="e">
        <f>VLOOKUP($I238,'AnmeldeVSS-Attribute'!$A$2:$H$16,4,FALSE)</f>
        <v>#N/A</v>
      </c>
      <c r="Z238" s="42" t="e">
        <f>VLOOKUP($I238,'AnmeldeVSS-Attribute'!$A$2:$H$16,5,FALSE)</f>
        <v>#N/A</v>
      </c>
      <c r="AA238" s="42" t="e">
        <f>VLOOKUP($I238,'AnmeldeVSS-Attribute'!$A$2:$H$16,6,FALSE)</f>
        <v>#N/A</v>
      </c>
      <c r="AB238" s="42" t="e">
        <f>VLOOKUP($I238,'AnmeldeVSS-Attribute'!$A$2:$H$16,7,FALSE)</f>
        <v>#N/A</v>
      </c>
      <c r="AC238" s="42" t="e">
        <f>IF(I238="Geldbetrag",J238,(IF(T238="",VLOOKUP($I238,'AnmeldeVSS-Attribute'!$A$2:$H$16,8,FALSE),T238)))</f>
        <v>#N/A</v>
      </c>
      <c r="AD238" s="42">
        <f>IF(S238="",0,VLOOKUP(S238,'AnmeldeVSS-Attribute'!$A$20:$B$26,2,FALSE))</f>
        <v>0</v>
      </c>
      <c r="AE238" s="42" t="e">
        <f t="shared" si="23"/>
        <v>#N/A</v>
      </c>
      <c r="AF238" s="42" t="str">
        <f t="shared" si="33"/>
        <v/>
      </c>
      <c r="AG238" s="42" t="str">
        <f t="shared" si="24"/>
        <v/>
      </c>
      <c r="AH238" s="47" t="str">
        <f t="shared" si="34"/>
        <v/>
      </c>
      <c r="AI238" s="47" t="str">
        <f t="shared" si="35"/>
        <v/>
      </c>
      <c r="AJ238" s="42" t="str">
        <f>IF(O238="",(IF(P238="Ansicht","INSERT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B238 &amp;" ,NULL ,'',349,"&amp; VLOOKUP(Q238,'AnmeldeVSS-Attribute'!$A$43:$B$50,2,FALSE)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B238 &amp;" ,"&amp; O238 &amp;" ,"&amp; IF(Q238="ja","'1'",IF(Q238="nein","'0'","'"&amp;Q238&amp;"'")) &amp;","&amp;IF(P238="enthält",349,IF(P238="nicht leer",352,IF(P238="enthält nicht",350,IF(P238="leer",351,0)))) &amp;" ,NULL ,GetDate() ,'scrc' ,GetDate() ,'scrc')")</f>
        <v/>
      </c>
      <c r="AK238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39" spans="1:37" x14ac:dyDescent="0.25">
      <c r="A239" s="36"/>
      <c r="B239" s="36"/>
      <c r="C239" s="68"/>
      <c r="D239" s="68"/>
      <c r="E239" s="66"/>
      <c r="F239" s="68"/>
      <c r="G239" s="68"/>
      <c r="H239" s="68"/>
      <c r="I239" s="68"/>
      <c r="J239" s="68"/>
      <c r="K239" s="68"/>
      <c r="L239" s="68"/>
      <c r="M239" s="66"/>
      <c r="N239" s="66"/>
      <c r="O239" s="66"/>
      <c r="P239" s="66"/>
      <c r="Q239" s="68"/>
      <c r="R239" s="66"/>
      <c r="S239" s="66"/>
      <c r="T239" s="65"/>
      <c r="U239" s="65"/>
      <c r="V239" s="42"/>
      <c r="W239" s="42" t="e">
        <f>VLOOKUP($I239,'AnmeldeVSS-Attribute'!$A$2:$H$16,2,FALSE)</f>
        <v>#N/A</v>
      </c>
      <c r="X239" s="42" t="e">
        <f>VLOOKUP($I239,'AnmeldeVSS-Attribute'!$A$2:$H$16,3,FALSE)</f>
        <v>#N/A</v>
      </c>
      <c r="Y239" s="42" t="e">
        <f>VLOOKUP($I239,'AnmeldeVSS-Attribute'!$A$2:$H$16,4,FALSE)</f>
        <v>#N/A</v>
      </c>
      <c r="Z239" s="42" t="e">
        <f>VLOOKUP($I239,'AnmeldeVSS-Attribute'!$A$2:$H$16,5,FALSE)</f>
        <v>#N/A</v>
      </c>
      <c r="AA239" s="42" t="e">
        <f>VLOOKUP($I239,'AnmeldeVSS-Attribute'!$A$2:$H$16,6,FALSE)</f>
        <v>#N/A</v>
      </c>
      <c r="AB239" s="42" t="e">
        <f>VLOOKUP($I239,'AnmeldeVSS-Attribute'!$A$2:$H$16,7,FALSE)</f>
        <v>#N/A</v>
      </c>
      <c r="AC239" s="42" t="e">
        <f>IF(I239="Geldbetrag",J239,(IF(T239="",VLOOKUP($I239,'AnmeldeVSS-Attribute'!$A$2:$H$16,8,FALSE),T239)))</f>
        <v>#N/A</v>
      </c>
      <c r="AD239" s="42">
        <f>IF(S239="",0,VLOOKUP(S239,'AnmeldeVSS-Attribute'!$A$20:$B$26,2,FALSE))</f>
        <v>0</v>
      </c>
      <c r="AE239" s="42" t="e">
        <f t="shared" si="23"/>
        <v>#N/A</v>
      </c>
      <c r="AF239" s="42" t="str">
        <f t="shared" si="33"/>
        <v/>
      </c>
      <c r="AG239" s="42" t="str">
        <f t="shared" si="24"/>
        <v/>
      </c>
      <c r="AH239" s="47" t="str">
        <f t="shared" si="34"/>
        <v/>
      </c>
      <c r="AI239" s="47" t="str">
        <f t="shared" si="35"/>
        <v/>
      </c>
      <c r="AJ239" s="42" t="str">
        <f>IF(O239="",(IF(P239="Ansicht","INSERT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B239 &amp;" ,NULL ,'',349,"&amp; VLOOKUP(Q239,'AnmeldeVSS-Attribute'!$A$43:$B$50,2,FALSE)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B239 &amp;" ,"&amp; O239 &amp;" ,"&amp; IF(Q239="ja","'1'",IF(Q239="nein","'0'","'"&amp;Q239&amp;"'")) &amp;","&amp;IF(P239="enthält",349,IF(P239="nicht leer",352,IF(P239="enthält nicht",350,IF(P239="leer",351,0)))) &amp;" ,NULL ,GetDate() ,'scrc' ,GetDate() ,'scrc')")</f>
        <v/>
      </c>
      <c r="AK239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0" spans="1:37" x14ac:dyDescent="0.25">
      <c r="A240" s="36"/>
      <c r="B240" s="36"/>
      <c r="C240" s="68"/>
      <c r="D240" s="68"/>
      <c r="E240" s="66"/>
      <c r="F240" s="68"/>
      <c r="G240" s="68"/>
      <c r="H240" s="68"/>
      <c r="I240" s="68"/>
      <c r="J240" s="68"/>
      <c r="K240" s="68"/>
      <c r="L240" s="68"/>
      <c r="M240" s="66"/>
      <c r="N240" s="66"/>
      <c r="O240" s="66"/>
      <c r="P240" s="66"/>
      <c r="Q240" s="68"/>
      <c r="R240" s="66"/>
      <c r="S240" s="66"/>
      <c r="T240" s="65"/>
      <c r="U240" s="65"/>
      <c r="W240" s="42" t="e">
        <f>VLOOKUP($I240,'AnmeldeVSS-Attribute'!$A$2:$H$16,2,FALSE)</f>
        <v>#N/A</v>
      </c>
      <c r="X240" s="42" t="e">
        <f>VLOOKUP($I240,'AnmeldeVSS-Attribute'!$A$2:$H$16,3,FALSE)</f>
        <v>#N/A</v>
      </c>
      <c r="Y240" s="42" t="e">
        <f>VLOOKUP($I240,'AnmeldeVSS-Attribute'!$A$2:$H$16,4,FALSE)</f>
        <v>#N/A</v>
      </c>
      <c r="Z240" s="42" t="e">
        <f>VLOOKUP($I240,'AnmeldeVSS-Attribute'!$A$2:$H$16,5,FALSE)</f>
        <v>#N/A</v>
      </c>
      <c r="AA240" s="42" t="e">
        <f>VLOOKUP($I240,'AnmeldeVSS-Attribute'!$A$2:$H$16,6,FALSE)</f>
        <v>#N/A</v>
      </c>
      <c r="AB240" s="42" t="e">
        <f>VLOOKUP($I240,'AnmeldeVSS-Attribute'!$A$2:$H$16,7,FALSE)</f>
        <v>#N/A</v>
      </c>
      <c r="AC240" s="42" t="e">
        <f>IF(I240="Geldbetrag",J240,(IF(T240="",VLOOKUP($I240,'AnmeldeVSS-Attribute'!$A$2:$H$16,8,FALSE),T240)))</f>
        <v>#N/A</v>
      </c>
      <c r="AD240" s="42">
        <f>IF(S240="",0,VLOOKUP(S240,'AnmeldeVSS-Attribute'!$A$20:$B$26,2,FALSE))</f>
        <v>0</v>
      </c>
      <c r="AE240" s="42" t="e">
        <f t="shared" si="23"/>
        <v>#N/A</v>
      </c>
      <c r="AF240" s="42" t="str">
        <f t="shared" si="33"/>
        <v/>
      </c>
      <c r="AG240" s="42" t="str">
        <f t="shared" si="24"/>
        <v/>
      </c>
      <c r="AH240" s="47" t="str">
        <f t="shared" si="34"/>
        <v/>
      </c>
      <c r="AI240" s="47" t="str">
        <f t="shared" si="35"/>
        <v/>
      </c>
      <c r="AJ240" s="42" t="str">
        <f>IF(O240="",(IF(P240="Ansicht","INSERT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B240 &amp;" ,NULL ,'',349,"&amp; VLOOKUP(Q240,'AnmeldeVSS-Attribute'!$A$43:$B$50,2,FALSE)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B240 &amp;" ,"&amp; O240 &amp;" ,"&amp; IF(Q240="ja","'1'",IF(Q240="nein","'0'","'"&amp;Q240&amp;"'")) &amp;","&amp;IF(P240="enthält",349,IF(P240="nicht leer",352,IF(P240="enthält nicht",350,IF(P240="leer",351,0)))) &amp;" ,NULL ,GetDate() ,'scrc' ,GetDate() ,'scrc')")</f>
        <v/>
      </c>
      <c r="AK240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1" spans="1:37" x14ac:dyDescent="0.25">
      <c r="A241" s="36"/>
      <c r="B241" s="36"/>
      <c r="C241" s="68"/>
      <c r="D241" s="68"/>
      <c r="E241" s="66"/>
      <c r="F241" s="68"/>
      <c r="G241" s="68"/>
      <c r="H241" s="68"/>
      <c r="I241" s="68"/>
      <c r="J241" s="68"/>
      <c r="K241" s="68"/>
      <c r="L241" s="68"/>
      <c r="M241" s="66"/>
      <c r="N241" s="66"/>
      <c r="O241" s="66"/>
      <c r="P241" s="66"/>
      <c r="Q241" s="68"/>
      <c r="R241" s="66"/>
      <c r="S241" s="66"/>
      <c r="T241" s="65"/>
      <c r="U241" s="65"/>
      <c r="W241" s="42" t="e">
        <f>VLOOKUP($I241,'AnmeldeVSS-Attribute'!$A$2:$H$16,2,FALSE)</f>
        <v>#N/A</v>
      </c>
      <c r="X241" s="42" t="e">
        <f>VLOOKUP($I241,'AnmeldeVSS-Attribute'!$A$2:$H$16,3,FALSE)</f>
        <v>#N/A</v>
      </c>
      <c r="Y241" s="42" t="e">
        <f>VLOOKUP($I241,'AnmeldeVSS-Attribute'!$A$2:$H$16,4,FALSE)</f>
        <v>#N/A</v>
      </c>
      <c r="Z241" s="42" t="e">
        <f>VLOOKUP($I241,'AnmeldeVSS-Attribute'!$A$2:$H$16,5,FALSE)</f>
        <v>#N/A</v>
      </c>
      <c r="AA241" s="42" t="e">
        <f>VLOOKUP($I241,'AnmeldeVSS-Attribute'!$A$2:$H$16,6,FALSE)</f>
        <v>#N/A</v>
      </c>
      <c r="AB241" s="42" t="e">
        <f>VLOOKUP($I241,'AnmeldeVSS-Attribute'!$A$2:$H$16,7,FALSE)</f>
        <v>#N/A</v>
      </c>
      <c r="AC241" s="42" t="e">
        <f>IF(I241="Geldbetrag",J241,(IF(T241="",VLOOKUP($I241,'AnmeldeVSS-Attribute'!$A$2:$H$16,8,FALSE),T241)))</f>
        <v>#N/A</v>
      </c>
      <c r="AD241" s="42">
        <f>IF(S241="",0,VLOOKUP(S241,'AnmeldeVSS-Attribute'!$A$20:$B$26,2,FALSE))</f>
        <v>0</v>
      </c>
      <c r="AE241" s="42" t="e">
        <f t="shared" si="23"/>
        <v>#N/A</v>
      </c>
      <c r="AF241" s="42" t="str">
        <f t="shared" si="33"/>
        <v/>
      </c>
      <c r="AG241" s="42" t="str">
        <f t="shared" si="24"/>
        <v/>
      </c>
      <c r="AH241" s="47" t="str">
        <f t="shared" si="34"/>
        <v/>
      </c>
      <c r="AI241" s="47" t="str">
        <f t="shared" si="35"/>
        <v/>
      </c>
      <c r="AJ241" s="42" t="str">
        <f>IF(O241="",(IF(P241="Ansicht","INSERT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B241 &amp;" ,NULL ,'',349,"&amp; VLOOKUP(Q241,'AnmeldeVSS-Attribute'!$A$43:$B$50,2,FALSE)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B241 &amp;" ,"&amp; O241 &amp;" ,"&amp; IF(Q241="ja","'1'",IF(Q241="nein","'0'","'"&amp;Q241&amp;"'")) &amp;","&amp;IF(P241="enthält",349,IF(P241="nicht leer",352,IF(P241="enthält nicht",350,IF(P241="leer",351,0)))) &amp;" ,NULL ,GetDate() ,'scrc' ,GetDate() ,'scrc')")</f>
        <v/>
      </c>
      <c r="AK241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2" spans="1:37" x14ac:dyDescent="0.25">
      <c r="A242" s="36"/>
      <c r="B242" s="36"/>
      <c r="C242" s="68"/>
      <c r="D242" s="68"/>
      <c r="E242" s="66"/>
      <c r="F242" s="68"/>
      <c r="G242" s="68"/>
      <c r="H242" s="68"/>
      <c r="I242" s="68"/>
      <c r="J242" s="68"/>
      <c r="K242" s="68"/>
      <c r="L242" s="68"/>
      <c r="M242" s="66"/>
      <c r="N242" s="66"/>
      <c r="O242" s="66"/>
      <c r="P242" s="66"/>
      <c r="Q242" s="68"/>
      <c r="R242" s="66"/>
      <c r="S242" s="66"/>
      <c r="T242" s="65"/>
      <c r="U242" s="65"/>
      <c r="V242" s="42"/>
      <c r="W242" s="42" t="e">
        <f>VLOOKUP($I242,'AnmeldeVSS-Attribute'!$A$2:$H$16,2,FALSE)</f>
        <v>#N/A</v>
      </c>
      <c r="X242" s="42" t="e">
        <f>VLOOKUP($I242,'AnmeldeVSS-Attribute'!$A$2:$H$16,3,FALSE)</f>
        <v>#N/A</v>
      </c>
      <c r="Y242" s="42" t="e">
        <f>VLOOKUP($I242,'AnmeldeVSS-Attribute'!$A$2:$H$16,4,FALSE)</f>
        <v>#N/A</v>
      </c>
      <c r="Z242" s="42" t="e">
        <f>VLOOKUP($I242,'AnmeldeVSS-Attribute'!$A$2:$H$16,5,FALSE)</f>
        <v>#N/A</v>
      </c>
      <c r="AA242" s="42" t="e">
        <f>VLOOKUP($I242,'AnmeldeVSS-Attribute'!$A$2:$H$16,6,FALSE)</f>
        <v>#N/A</v>
      </c>
      <c r="AB242" s="42" t="e">
        <f>VLOOKUP($I242,'AnmeldeVSS-Attribute'!$A$2:$H$16,7,FALSE)</f>
        <v>#N/A</v>
      </c>
      <c r="AC242" s="42" t="e">
        <f>IF(I242="Geldbetrag",J242,(IF(T242="",VLOOKUP($I242,'AnmeldeVSS-Attribute'!$A$2:$H$16,8,FALSE),T242)))</f>
        <v>#N/A</v>
      </c>
      <c r="AD242" s="42">
        <f>IF(S242="",0,VLOOKUP(S242,'AnmeldeVSS-Attribute'!$A$20:$B$26,2,FALSE))</f>
        <v>0</v>
      </c>
      <c r="AE242" s="42" t="e">
        <f t="shared" si="23"/>
        <v>#N/A</v>
      </c>
      <c r="AF242" s="42" t="str">
        <f t="shared" si="33"/>
        <v/>
      </c>
      <c r="AG242" s="42" t="str">
        <f t="shared" si="24"/>
        <v/>
      </c>
      <c r="AH242" s="47" t="str">
        <f t="shared" si="34"/>
        <v/>
      </c>
      <c r="AI242" s="47" t="str">
        <f t="shared" si="35"/>
        <v/>
      </c>
      <c r="AJ242" s="42" t="str">
        <f>IF(O242="",(IF(P242="Ansicht","INSERT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B242 &amp;" ,NULL ,'',349,"&amp; VLOOKUP(Q242,'AnmeldeVSS-Attribute'!$A$43:$B$50,2,FALSE)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B242 &amp;" ,"&amp; O242 &amp;" ,"&amp; IF(Q242="ja","'1'",IF(Q242="nein","'0'","'"&amp;Q242&amp;"'")) &amp;","&amp;IF(P242="enthält",349,IF(P242="nicht leer",352,IF(P242="enthält nicht",350,IF(P242="leer",351,0)))) &amp;" ,NULL ,GetDate() ,'scrc' ,GetDate() ,'scrc')")</f>
        <v/>
      </c>
      <c r="AK242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3" spans="1:37" x14ac:dyDescent="0.25">
      <c r="A243" s="36"/>
      <c r="B243" s="36"/>
      <c r="C243" s="68"/>
      <c r="D243" s="68"/>
      <c r="E243" s="66"/>
      <c r="F243" s="68"/>
      <c r="G243" s="68"/>
      <c r="H243" s="68"/>
      <c r="I243" s="68"/>
      <c r="J243" s="68"/>
      <c r="K243" s="68"/>
      <c r="L243" s="68"/>
      <c r="M243" s="66"/>
      <c r="N243" s="66"/>
      <c r="O243" s="66"/>
      <c r="P243" s="66"/>
      <c r="Q243" s="68"/>
      <c r="R243" s="66"/>
      <c r="S243" s="66"/>
      <c r="T243" s="65"/>
      <c r="U243" s="65"/>
      <c r="V243" s="42"/>
      <c r="W243" s="42" t="e">
        <f>VLOOKUP($I243,'AnmeldeVSS-Attribute'!$A$2:$H$16,2,FALSE)</f>
        <v>#N/A</v>
      </c>
      <c r="X243" s="42" t="e">
        <f>VLOOKUP($I243,'AnmeldeVSS-Attribute'!$A$2:$H$16,3,FALSE)</f>
        <v>#N/A</v>
      </c>
      <c r="Y243" s="42" t="e">
        <f>VLOOKUP($I243,'AnmeldeVSS-Attribute'!$A$2:$H$16,4,FALSE)</f>
        <v>#N/A</v>
      </c>
      <c r="Z243" s="42" t="e">
        <f>VLOOKUP($I243,'AnmeldeVSS-Attribute'!$A$2:$H$16,5,FALSE)</f>
        <v>#N/A</v>
      </c>
      <c r="AA243" s="42" t="e">
        <f>VLOOKUP($I243,'AnmeldeVSS-Attribute'!$A$2:$H$16,6,FALSE)</f>
        <v>#N/A</v>
      </c>
      <c r="AB243" s="42" t="e">
        <f>VLOOKUP($I243,'AnmeldeVSS-Attribute'!$A$2:$H$16,7,FALSE)</f>
        <v>#N/A</v>
      </c>
      <c r="AC243" s="42" t="e">
        <f>IF(I243="Geldbetrag",J243,(IF(T243="",VLOOKUP($I243,'AnmeldeVSS-Attribute'!$A$2:$H$16,8,FALSE),T243)))</f>
        <v>#N/A</v>
      </c>
      <c r="AD243" s="42">
        <f>IF(S243="",0,VLOOKUP(S243,'AnmeldeVSS-Attribute'!$A$20:$B$26,2,FALSE))</f>
        <v>0</v>
      </c>
      <c r="AE243" s="42" t="e">
        <f t="shared" si="23"/>
        <v>#N/A</v>
      </c>
      <c r="AF243" s="42" t="str">
        <f t="shared" si="33"/>
        <v/>
      </c>
      <c r="AG243" s="42" t="str">
        <f t="shared" si="24"/>
        <v/>
      </c>
      <c r="AH243" s="47" t="str">
        <f t="shared" si="34"/>
        <v/>
      </c>
      <c r="AI243" s="47" t="str">
        <f t="shared" si="35"/>
        <v/>
      </c>
      <c r="AJ243" s="42" t="str">
        <f>IF(O243="",(IF(P243="Ansicht","INSERT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B243 &amp;" ,NULL ,'',349,"&amp; VLOOKUP(Q243,'AnmeldeVSS-Attribute'!$A$43:$B$50,2,FALSE)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B243 &amp;" ,"&amp; O243 &amp;" ,"&amp; IF(Q243="ja","'1'",IF(Q243="nein","'0'","'"&amp;Q243&amp;"'")) &amp;","&amp;IF(P243="enthält",349,IF(P243="nicht leer",352,IF(P243="enthält nicht",350,IF(P243="leer",351,0)))) &amp;" ,NULL ,GetDate() ,'scrc' ,GetDate() ,'scrc')")</f>
        <v/>
      </c>
      <c r="AK243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4" spans="1:37" x14ac:dyDescent="0.25">
      <c r="A244" s="36"/>
      <c r="B244" s="36"/>
      <c r="C244" s="68"/>
      <c r="D244" s="68"/>
      <c r="E244" s="66"/>
      <c r="F244" s="68"/>
      <c r="G244" s="68"/>
      <c r="H244" s="68"/>
      <c r="I244" s="68"/>
      <c r="J244" s="68"/>
      <c r="K244" s="68"/>
      <c r="L244" s="68"/>
      <c r="M244" s="66"/>
      <c r="N244" s="66"/>
      <c r="O244" s="66"/>
      <c r="P244" s="66"/>
      <c r="Q244" s="68"/>
      <c r="R244" s="66"/>
      <c r="S244" s="66"/>
      <c r="T244" s="65"/>
      <c r="U244" s="65"/>
      <c r="V244" s="42"/>
      <c r="W244" s="42" t="e">
        <f>VLOOKUP($I244,'AnmeldeVSS-Attribute'!$A$2:$H$16,2,FALSE)</f>
        <v>#N/A</v>
      </c>
      <c r="X244" s="42" t="e">
        <f>VLOOKUP($I244,'AnmeldeVSS-Attribute'!$A$2:$H$16,3,FALSE)</f>
        <v>#N/A</v>
      </c>
      <c r="Y244" s="42" t="e">
        <f>VLOOKUP($I244,'AnmeldeVSS-Attribute'!$A$2:$H$16,4,FALSE)</f>
        <v>#N/A</v>
      </c>
      <c r="Z244" s="42" t="e">
        <f>VLOOKUP($I244,'AnmeldeVSS-Attribute'!$A$2:$H$16,5,FALSE)</f>
        <v>#N/A</v>
      </c>
      <c r="AA244" s="42" t="e">
        <f>VLOOKUP($I244,'AnmeldeVSS-Attribute'!$A$2:$H$16,6,FALSE)</f>
        <v>#N/A</v>
      </c>
      <c r="AB244" s="42" t="e">
        <f>VLOOKUP($I244,'AnmeldeVSS-Attribute'!$A$2:$H$16,7,FALSE)</f>
        <v>#N/A</v>
      </c>
      <c r="AC244" s="42" t="e">
        <f>IF(I244="Geldbetrag",J244,(IF(T244="",VLOOKUP($I244,'AnmeldeVSS-Attribute'!$A$2:$H$16,8,FALSE),T244)))</f>
        <v>#N/A</v>
      </c>
      <c r="AD244" s="42">
        <f>IF(S244="",0,VLOOKUP(S244,'AnmeldeVSS-Attribute'!$A$20:$B$26,2,FALSE))</f>
        <v>0</v>
      </c>
      <c r="AE244" s="42" t="e">
        <f t="shared" si="23"/>
        <v>#N/A</v>
      </c>
      <c r="AF244" s="42" t="str">
        <f t="shared" si="33"/>
        <v/>
      </c>
      <c r="AG244" s="42" t="str">
        <f t="shared" si="24"/>
        <v/>
      </c>
      <c r="AH244" s="47" t="str">
        <f t="shared" si="34"/>
        <v/>
      </c>
      <c r="AI244" s="47" t="str">
        <f t="shared" si="35"/>
        <v/>
      </c>
      <c r="AJ244" s="42" t="str">
        <f>IF(O244="",(IF(P244="Ansicht","INSERT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B244 &amp;" ,NULL ,'',349,"&amp; VLOOKUP(Q244,'AnmeldeVSS-Attribute'!$A$43:$B$50,2,FALSE)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B244 &amp;" ,"&amp; O244 &amp;" ,"&amp; IF(Q244="ja","'1'",IF(Q244="nein","'0'","'"&amp;Q244&amp;"'")) &amp;","&amp;IF(P244="enthält",349,IF(P244="nicht leer",352,IF(P244="enthält nicht",350,IF(P244="leer",351,0)))) &amp;" ,NULL ,GetDate() ,'scrc' ,GetDate() ,'scrc')")</f>
        <v/>
      </c>
      <c r="AK244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5" spans="1:37" x14ac:dyDescent="0.25">
      <c r="A245" s="36"/>
      <c r="B245" s="36"/>
      <c r="C245" s="68"/>
      <c r="D245" s="68"/>
      <c r="E245" s="66"/>
      <c r="F245" s="68"/>
      <c r="G245" s="68"/>
      <c r="H245" s="68"/>
      <c r="I245" s="68"/>
      <c r="J245" s="68"/>
      <c r="K245" s="68"/>
      <c r="L245" s="68"/>
      <c r="M245" s="66"/>
      <c r="N245" s="66"/>
      <c r="O245" s="66"/>
      <c r="P245" s="66"/>
      <c r="Q245" s="68"/>
      <c r="R245" s="66"/>
      <c r="S245" s="66"/>
      <c r="T245" s="65"/>
      <c r="U245" s="65"/>
      <c r="V245" s="42"/>
      <c r="W245" s="42" t="e">
        <f>VLOOKUP($I245,'AnmeldeVSS-Attribute'!$A$2:$H$16,2,FALSE)</f>
        <v>#N/A</v>
      </c>
      <c r="X245" s="42" t="e">
        <f>VLOOKUP($I245,'AnmeldeVSS-Attribute'!$A$2:$H$16,3,FALSE)</f>
        <v>#N/A</v>
      </c>
      <c r="Y245" s="42" t="e">
        <f>VLOOKUP($I245,'AnmeldeVSS-Attribute'!$A$2:$H$16,4,FALSE)</f>
        <v>#N/A</v>
      </c>
      <c r="Z245" s="42" t="e">
        <f>VLOOKUP($I245,'AnmeldeVSS-Attribute'!$A$2:$H$16,5,FALSE)</f>
        <v>#N/A</v>
      </c>
      <c r="AA245" s="42" t="e">
        <f>VLOOKUP($I245,'AnmeldeVSS-Attribute'!$A$2:$H$16,6,FALSE)</f>
        <v>#N/A</v>
      </c>
      <c r="AB245" s="42" t="e">
        <f>VLOOKUP($I245,'AnmeldeVSS-Attribute'!$A$2:$H$16,7,FALSE)</f>
        <v>#N/A</v>
      </c>
      <c r="AC245" s="42" t="e">
        <f>IF(I245="Geldbetrag",J245,(IF(T245="",VLOOKUP($I245,'AnmeldeVSS-Attribute'!$A$2:$H$16,8,FALSE),T245)))</f>
        <v>#N/A</v>
      </c>
      <c r="AD245" s="42">
        <f>IF(S245="",0,VLOOKUP(S245,'AnmeldeVSS-Attribute'!$A$20:$B$26,2,FALSE))</f>
        <v>0</v>
      </c>
      <c r="AE245" s="42" t="e">
        <f t="shared" si="23"/>
        <v>#N/A</v>
      </c>
      <c r="AF245" s="42" t="str">
        <f t="shared" si="33"/>
        <v/>
      </c>
      <c r="AG245" s="42" t="str">
        <f t="shared" si="24"/>
        <v/>
      </c>
      <c r="AH245" s="47" t="str">
        <f t="shared" si="34"/>
        <v/>
      </c>
      <c r="AI245" s="47" t="str">
        <f t="shared" si="35"/>
        <v/>
      </c>
      <c r="AJ245" s="42" t="str">
        <f>IF(O245="",(IF(P245="Ansicht","INSERT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B245 &amp;" ,NULL ,'',349,"&amp; VLOOKUP(Q245,'AnmeldeVSS-Attribute'!$A$43:$B$50,2,FALSE)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B245 &amp;" ,"&amp; O245 &amp;" ,"&amp; IF(Q245="ja","'1'",IF(Q245="nein","'0'","'"&amp;Q245&amp;"'")) &amp;","&amp;IF(P245="enthält",349,IF(P245="nicht leer",352,IF(P245="enthält nicht",350,IF(P245="leer",351,0)))) &amp;" ,NULL ,GetDate() ,'scrc' ,GetDate() ,'scrc')")</f>
        <v/>
      </c>
      <c r="AK245" s="48" t="str">
        <f t="shared" si="36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6" spans="1:37" x14ac:dyDescent="0.25">
      <c r="A246" s="71"/>
      <c r="B246" s="71"/>
      <c r="C246" s="71"/>
      <c r="D246" s="71"/>
      <c r="E246" s="66"/>
      <c r="F246" s="71"/>
      <c r="G246" s="71"/>
      <c r="H246" s="71"/>
      <c r="I246" s="71"/>
      <c r="J246" s="71"/>
      <c r="K246" s="71"/>
      <c r="L246" s="71"/>
      <c r="M246" s="70"/>
      <c r="N246" s="70"/>
      <c r="O246" s="70"/>
      <c r="P246" s="70"/>
      <c r="Q246" s="71"/>
      <c r="R246" s="70"/>
      <c r="S246" s="70"/>
      <c r="T246" s="65"/>
      <c r="U246" s="65"/>
      <c r="W246" s="42" t="e">
        <f>VLOOKUP($I246,'AnmeldeVSS-Attribute'!$A$2:$H$16,2,FALSE)</f>
        <v>#N/A</v>
      </c>
      <c r="X246" s="42" t="e">
        <f>VLOOKUP($I246,'AnmeldeVSS-Attribute'!$A$2:$H$16,3,FALSE)</f>
        <v>#N/A</v>
      </c>
      <c r="Y246" s="42" t="e">
        <f>VLOOKUP($I246,'AnmeldeVSS-Attribute'!$A$2:$H$16,4,FALSE)</f>
        <v>#N/A</v>
      </c>
      <c r="Z246" s="42" t="e">
        <f>VLOOKUP($I246,'AnmeldeVSS-Attribute'!$A$2:$H$16,5,FALSE)</f>
        <v>#N/A</v>
      </c>
      <c r="AA246" s="42" t="e">
        <f>VLOOKUP($I246,'AnmeldeVSS-Attribute'!$A$2:$H$16,6,FALSE)</f>
        <v>#N/A</v>
      </c>
      <c r="AB246" s="42" t="e">
        <f>VLOOKUP($I246,'AnmeldeVSS-Attribute'!$A$2:$H$16,7,FALSE)</f>
        <v>#N/A</v>
      </c>
      <c r="AC246" s="42" t="e">
        <f>IF(I246="Geldbetrag",J246,(IF(T246="",VLOOKUP($I246,'AnmeldeVSS-Attribute'!$A$2:$H$16,8,FALSE),T246)))</f>
        <v>#N/A</v>
      </c>
      <c r="AD246" s="42">
        <f>IF(S246="",0,VLOOKUP(S246,'AnmeldeVSS-Attribute'!$A$20:$B$26,2,FALSE))</f>
        <v>0</v>
      </c>
      <c r="AE246" s="42" t="e">
        <f t="shared" si="23"/>
        <v>#N/A</v>
      </c>
      <c r="AF246" s="42" t="str">
        <f t="shared" si="25"/>
        <v/>
      </c>
      <c r="AG246" s="42" t="str">
        <f t="shared" si="24"/>
        <v/>
      </c>
      <c r="AH246" s="47" t="str">
        <f t="shared" si="26"/>
        <v/>
      </c>
      <c r="AI246" s="47" t="str">
        <f t="shared" si="27"/>
        <v/>
      </c>
      <c r="AJ246" s="42" t="str">
        <f>IF(O246="",(IF(P246="Ansicht","INSERT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B246 &amp;" ,NULL ,'',349,"&amp; VLOOKUP(Q246,'AnmeldeVSS-Attribute'!$A$43:$B$50,2,FALSE)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B246 &amp;" ,"&amp; O246 &amp;" ,"&amp; IF(Q246="ja","'1'",IF(Q246="nein","'0'","'"&amp;Q246&amp;"'")) &amp;","&amp;IF(P246="enthält",349,IF(P246="nicht leer",352,IF(P246="enthält nicht",350,IF(P246="leer",351,0)))) &amp;" ,NULL ,GetDate() ,'scrc' ,GetDate() ,'scrc')")</f>
        <v/>
      </c>
      <c r="AK246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7" spans="1:37" ht="268.5" customHeight="1" x14ac:dyDescent="0.25">
      <c r="A247" s="66"/>
      <c r="B247" s="66"/>
      <c r="C247" s="50"/>
      <c r="D247" s="50"/>
      <c r="E247" s="66"/>
      <c r="F247" s="68"/>
      <c r="G247" s="68"/>
      <c r="H247" s="68"/>
      <c r="I247" s="68"/>
      <c r="J247" s="68"/>
      <c r="K247" s="68"/>
      <c r="L247" s="68"/>
      <c r="M247" s="66"/>
      <c r="N247" s="66"/>
      <c r="O247" s="66"/>
      <c r="P247" s="66"/>
      <c r="Q247" s="68"/>
      <c r="R247" s="66"/>
      <c r="S247" s="66"/>
      <c r="T247" s="65"/>
      <c r="U247" s="65"/>
      <c r="W247" s="42" t="e">
        <f>VLOOKUP($I247,'AnmeldeVSS-Attribute'!$A$2:$H$16,2,FALSE)</f>
        <v>#N/A</v>
      </c>
      <c r="X247" s="42" t="e">
        <f>VLOOKUP($I247,'AnmeldeVSS-Attribute'!$A$2:$H$16,3,FALSE)</f>
        <v>#N/A</v>
      </c>
      <c r="Y247" s="42" t="e">
        <f>VLOOKUP($I247,'AnmeldeVSS-Attribute'!$A$2:$H$16,4,FALSE)</f>
        <v>#N/A</v>
      </c>
      <c r="Z247" s="42" t="e">
        <f>VLOOKUP($I247,'AnmeldeVSS-Attribute'!$A$2:$H$16,5,FALSE)</f>
        <v>#N/A</v>
      </c>
      <c r="AA247" s="42" t="e">
        <f>VLOOKUP($I247,'AnmeldeVSS-Attribute'!$A$2:$H$16,6,FALSE)</f>
        <v>#N/A</v>
      </c>
      <c r="AB247" s="42" t="e">
        <f>VLOOKUP($I247,'AnmeldeVSS-Attribute'!$A$2:$H$16,7,FALSE)</f>
        <v>#N/A</v>
      </c>
      <c r="AC247" s="42" t="e">
        <f>IF(I247="Geldbetrag",J247,(IF(T247="",VLOOKUP($I247,'AnmeldeVSS-Attribute'!$A$2:$H$16,8,FALSE),T247)))</f>
        <v>#N/A</v>
      </c>
      <c r="AD247" s="42">
        <f>IF(S247="",0,VLOOKUP(S247,'AnmeldeVSS-Attribute'!$A$20:$B$26,2,FALSE))</f>
        <v>0</v>
      </c>
      <c r="AE247" s="42" t="e">
        <f t="shared" si="23"/>
        <v>#N/A</v>
      </c>
      <c r="AF247" s="42" t="str">
        <f t="shared" si="25"/>
        <v/>
      </c>
      <c r="AG247" s="42" t="str">
        <f t="shared" si="24"/>
        <v/>
      </c>
      <c r="AH247" s="47" t="str">
        <f t="shared" si="26"/>
        <v/>
      </c>
      <c r="AI247" s="47" t="str">
        <f t="shared" si="27"/>
        <v/>
      </c>
      <c r="AJ247" s="42" t="str">
        <f>IF(O247="",(IF(P247="Ansicht","INSERT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B247 &amp;" ,NULL ,'',349,"&amp; VLOOKUP(Q247,'AnmeldeVSS-Attribute'!$A$43:$B$50,2,FALSE)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B247 &amp;" ,"&amp; O247 &amp;" ,"&amp; IF(Q247="ja","'1'",IF(Q247="nein","'0'","'"&amp;Q247&amp;"'")) &amp;","&amp;IF(P247="enthält",349,IF(P247="nicht leer",352,IF(P247="enthält nicht",350,IF(P247="leer",351,0)))) &amp;" ,NULL ,GetDate() ,'scrc' ,GetDate() ,'scrc')")</f>
        <v/>
      </c>
      <c r="AK247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8" spans="1:37" x14ac:dyDescent="0.25">
      <c r="A248" s="66"/>
      <c r="B248" s="66"/>
      <c r="C248" s="68"/>
      <c r="D248" s="53"/>
      <c r="E248" s="66"/>
      <c r="F248" s="68"/>
      <c r="G248" s="68"/>
      <c r="H248" s="68"/>
      <c r="I248" s="68"/>
      <c r="J248" s="68"/>
      <c r="K248" s="68"/>
      <c r="L248" s="68"/>
      <c r="M248" s="66"/>
      <c r="N248" s="66"/>
      <c r="O248" s="66"/>
      <c r="P248" s="66"/>
      <c r="Q248" s="68"/>
      <c r="R248" s="66"/>
      <c r="S248" s="66"/>
      <c r="T248" s="65"/>
      <c r="U248" s="65"/>
      <c r="W248" s="42" t="e">
        <f>VLOOKUP($I248,'AnmeldeVSS-Attribute'!$A$2:$H$16,2,FALSE)</f>
        <v>#N/A</v>
      </c>
      <c r="X248" s="42" t="e">
        <f>VLOOKUP($I248,'AnmeldeVSS-Attribute'!$A$2:$H$16,3,FALSE)</f>
        <v>#N/A</v>
      </c>
      <c r="Y248" s="42" t="e">
        <f>VLOOKUP($I248,'AnmeldeVSS-Attribute'!$A$2:$H$16,4,FALSE)</f>
        <v>#N/A</v>
      </c>
      <c r="Z248" s="42" t="e">
        <f>VLOOKUP($I248,'AnmeldeVSS-Attribute'!$A$2:$H$16,5,FALSE)</f>
        <v>#N/A</v>
      </c>
      <c r="AA248" s="42" t="e">
        <f>VLOOKUP($I248,'AnmeldeVSS-Attribute'!$A$2:$H$16,6,FALSE)</f>
        <v>#N/A</v>
      </c>
      <c r="AB248" s="42" t="e">
        <f>VLOOKUP($I248,'AnmeldeVSS-Attribute'!$A$2:$H$16,7,FALSE)</f>
        <v>#N/A</v>
      </c>
      <c r="AC248" s="42" t="e">
        <f>IF(I248="Geldbetrag",J248,(IF(T248="",VLOOKUP($I248,'AnmeldeVSS-Attribute'!$A$2:$H$16,8,FALSE),T248)))</f>
        <v>#N/A</v>
      </c>
      <c r="AD248" s="42">
        <f>IF(S248="",0,VLOOKUP(S248,'AnmeldeVSS-Attribute'!$A$20:$B$26,2,FALSE))</f>
        <v>0</v>
      </c>
      <c r="AE248" s="42" t="e">
        <f t="shared" si="23"/>
        <v>#N/A</v>
      </c>
      <c r="AF248" s="42" t="str">
        <f t="shared" si="25"/>
        <v/>
      </c>
      <c r="AG248" s="42" t="str">
        <f t="shared" si="24"/>
        <v/>
      </c>
      <c r="AH248" s="47" t="str">
        <f t="shared" si="26"/>
        <v/>
      </c>
      <c r="AI248" s="47" t="str">
        <f t="shared" si="27"/>
        <v/>
      </c>
      <c r="AJ248" s="42" t="str">
        <f>IF(O248="",(IF(P248="Ansicht","INSERT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B248 &amp;" ,NULL ,'',349,"&amp; VLOOKUP(Q248,'AnmeldeVSS-Attribute'!$A$43:$B$50,2,FALSE)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B248 &amp;" ,"&amp; O248 &amp;" ,"&amp; IF(Q248="ja","'1'",IF(Q248="nein","'0'","'"&amp;Q248&amp;"'")) &amp;","&amp;IF(P248="enthält",349,IF(P248="nicht leer",352,IF(P248="enthält nicht",350,IF(P248="leer",351,0)))) &amp;" ,NULL ,GetDate() ,'scrc' ,GetDate() ,'scrc')")</f>
        <v/>
      </c>
      <c r="AK248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49" spans="1:37" ht="124.15" customHeight="1" x14ac:dyDescent="0.25">
      <c r="A249" s="66"/>
      <c r="B249" s="66"/>
      <c r="C249" s="68"/>
      <c r="D249" s="68"/>
      <c r="E249" s="66"/>
      <c r="F249" s="68"/>
      <c r="G249" s="68"/>
      <c r="H249" s="68"/>
      <c r="I249" s="68"/>
      <c r="J249" s="25"/>
      <c r="K249" s="25"/>
      <c r="L249" s="25"/>
      <c r="M249" s="66"/>
      <c r="N249" s="66"/>
      <c r="O249" s="66"/>
      <c r="P249" s="66"/>
      <c r="Q249" s="68"/>
      <c r="R249" s="66"/>
      <c r="S249" s="66"/>
      <c r="T249" s="65"/>
      <c r="U249" s="65"/>
      <c r="W249" s="42" t="e">
        <f>VLOOKUP($I249,'AnmeldeVSS-Attribute'!$A$2:$H$16,2,FALSE)</f>
        <v>#N/A</v>
      </c>
      <c r="X249" s="42" t="e">
        <f>VLOOKUP($I249,'AnmeldeVSS-Attribute'!$A$2:$H$16,3,FALSE)</f>
        <v>#N/A</v>
      </c>
      <c r="Y249" s="42" t="e">
        <f>VLOOKUP($I249,'AnmeldeVSS-Attribute'!$A$2:$H$16,4,FALSE)</f>
        <v>#N/A</v>
      </c>
      <c r="Z249" s="42" t="e">
        <f>VLOOKUP($I249,'AnmeldeVSS-Attribute'!$A$2:$H$16,5,FALSE)</f>
        <v>#N/A</v>
      </c>
      <c r="AA249" s="42" t="e">
        <f>VLOOKUP($I249,'AnmeldeVSS-Attribute'!$A$2:$H$16,6,FALSE)</f>
        <v>#N/A</v>
      </c>
      <c r="AB249" s="42" t="e">
        <f>VLOOKUP($I249,'AnmeldeVSS-Attribute'!$A$2:$H$16,7,FALSE)</f>
        <v>#N/A</v>
      </c>
      <c r="AC249" s="42" t="e">
        <f>IF(I249="Geldbetrag",J249,(IF(T249="",VLOOKUP($I249,'AnmeldeVSS-Attribute'!$A$2:$H$16,8,FALSE),T249)))</f>
        <v>#N/A</v>
      </c>
      <c r="AD249" s="42">
        <f>IF(S249="",0,VLOOKUP(S249,'AnmeldeVSS-Attribute'!$A$20:$B$26,2,FALSE))</f>
        <v>0</v>
      </c>
      <c r="AE249" s="42" t="e">
        <f t="shared" si="23"/>
        <v>#N/A</v>
      </c>
      <c r="AF249" s="42" t="str">
        <f t="shared" si="25"/>
        <v/>
      </c>
      <c r="AG249" s="42" t="str">
        <f t="shared" si="24"/>
        <v/>
      </c>
      <c r="AH249" s="47" t="str">
        <f t="shared" si="26"/>
        <v/>
      </c>
      <c r="AI249" s="47" t="str">
        <f t="shared" ref="AI249:AI279" si="37">IF(D249&lt;&gt;"","update tblAnmeldeVSSLanguage set AnmeldeVSSBezeichnung = '" &amp; D249 &amp;"', AnmeldeVSSBezeichnungToDo = 0 " &amp;IF(H249&lt;&gt;"",", AnmeldeVSSTooltip = '"&amp; H249 &amp;"', AnmeldeVSSTooltipToDo = 0 ","") &amp; "where IDAnlass = "&amp; IDAnlass &amp;" and IDAnmeldeVSS = "&amp; B249,"")</f>
        <v/>
      </c>
      <c r="AJ249" s="42" t="str">
        <f>IF(O249="",(IF(P249="Ansicht","INSERT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B249 &amp;" ,NULL ,'',349,"&amp; VLOOKUP(Q249,'AnmeldeVSS-Attribute'!$A$43:$B$50,2,FALSE)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B249 &amp;" ,"&amp; O249 &amp;" ,"&amp; IF(Q249="ja","'1'",IF(Q249="nein","'0'","'"&amp;Q249&amp;"'")) &amp;","&amp;IF(P249="enthält",349,IF(P249="nicht leer",352,IF(P249="enthält nicht",350,IF(P249="leer",351,0)))) &amp;" ,NULL ,GetDate() ,'scrc' ,GetDate() ,'scrc')")</f>
        <v/>
      </c>
      <c r="AK249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0" spans="1:37" x14ac:dyDescent="0.25">
      <c r="A250" s="66"/>
      <c r="B250" s="66"/>
      <c r="C250" s="68"/>
      <c r="D250" s="68"/>
      <c r="E250" s="66"/>
      <c r="F250" s="68"/>
      <c r="G250" s="68"/>
      <c r="H250" s="68"/>
      <c r="I250" s="68"/>
      <c r="J250" s="25"/>
      <c r="K250" s="25"/>
      <c r="L250" s="25"/>
      <c r="M250" s="66"/>
      <c r="N250" s="66"/>
      <c r="O250" s="68"/>
      <c r="P250" s="66"/>
      <c r="Q250" s="68"/>
      <c r="R250" s="66"/>
      <c r="S250" s="66"/>
      <c r="T250" s="65"/>
      <c r="U250" s="65"/>
      <c r="W250" s="42" t="e">
        <f>VLOOKUP($I250,'AnmeldeVSS-Attribute'!$A$2:$H$16,2,FALSE)</f>
        <v>#N/A</v>
      </c>
      <c r="X250" s="42" t="e">
        <f>VLOOKUP($I250,'AnmeldeVSS-Attribute'!$A$2:$H$16,3,FALSE)</f>
        <v>#N/A</v>
      </c>
      <c r="Y250" s="42" t="e">
        <f>VLOOKUP($I250,'AnmeldeVSS-Attribute'!$A$2:$H$16,4,FALSE)</f>
        <v>#N/A</v>
      </c>
      <c r="Z250" s="42" t="e">
        <f>VLOOKUP($I250,'AnmeldeVSS-Attribute'!$A$2:$H$16,5,FALSE)</f>
        <v>#N/A</v>
      </c>
      <c r="AA250" s="42" t="e">
        <f>VLOOKUP($I250,'AnmeldeVSS-Attribute'!$A$2:$H$16,6,FALSE)</f>
        <v>#N/A</v>
      </c>
      <c r="AB250" s="42" t="e">
        <f>VLOOKUP($I250,'AnmeldeVSS-Attribute'!$A$2:$H$16,7,FALSE)</f>
        <v>#N/A</v>
      </c>
      <c r="AC250" s="42" t="e">
        <f>IF(I250="Geldbetrag",J250,(IF(T250="",VLOOKUP($I250,'AnmeldeVSS-Attribute'!$A$2:$H$16,8,FALSE),T250)))</f>
        <v>#N/A</v>
      </c>
      <c r="AD250" s="42">
        <f>IF(S250="",0,VLOOKUP(S250,'AnmeldeVSS-Attribute'!$A$20:$B$26,2,FALSE))</f>
        <v>0</v>
      </c>
      <c r="AE250" s="42" t="e">
        <f t="shared" si="23"/>
        <v>#N/A</v>
      </c>
      <c r="AF250" s="42" t="str">
        <f t="shared" si="25"/>
        <v/>
      </c>
      <c r="AG250" s="42" t="str">
        <f t="shared" si="24"/>
        <v/>
      </c>
      <c r="AH250" s="47" t="str">
        <f t="shared" si="26"/>
        <v/>
      </c>
      <c r="AI250" s="47" t="str">
        <f t="shared" si="37"/>
        <v/>
      </c>
      <c r="AJ250" s="42" t="str">
        <f>IF(O250="",(IF(P250="Ansicht","INSERT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B250 &amp;" ,NULL ,'',349,"&amp; VLOOKUP(Q250,'AnmeldeVSS-Attribute'!$A$43:$B$50,2,FALSE)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B250 &amp;" ,"&amp; O250 &amp;" ,"&amp; IF(Q250="ja","'1'",IF(Q250="nein","'0'","'"&amp;Q250&amp;"'")) &amp;","&amp;IF(P250="enthält",349,IF(P250="nicht leer",352,IF(P250="enthält nicht",350,IF(P250="leer",351,0)))) &amp;" ,NULL ,GetDate() ,'scrc' ,GetDate() ,'scrc')")</f>
        <v/>
      </c>
      <c r="AK250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1" spans="1:37" x14ac:dyDescent="0.25">
      <c r="A251" s="66"/>
      <c r="B251" s="68"/>
      <c r="C251" s="68"/>
      <c r="D251" s="68"/>
      <c r="E251" s="66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6"/>
      <c r="T251" s="65"/>
      <c r="U251" s="65"/>
      <c r="W251" s="42" t="e">
        <f>VLOOKUP($I251,'AnmeldeVSS-Attribute'!$A$2:$H$16,2,FALSE)</f>
        <v>#N/A</v>
      </c>
      <c r="X251" s="42" t="e">
        <f>VLOOKUP($I251,'AnmeldeVSS-Attribute'!$A$2:$H$16,3,FALSE)</f>
        <v>#N/A</v>
      </c>
      <c r="Y251" s="42" t="e">
        <f>VLOOKUP($I251,'AnmeldeVSS-Attribute'!$A$2:$H$16,4,FALSE)</f>
        <v>#N/A</v>
      </c>
      <c r="Z251" s="42" t="e">
        <f>VLOOKUP($I251,'AnmeldeVSS-Attribute'!$A$2:$H$16,5,FALSE)</f>
        <v>#N/A</v>
      </c>
      <c r="AA251" s="42" t="e">
        <f>VLOOKUP($I251,'AnmeldeVSS-Attribute'!$A$2:$H$16,6,FALSE)</f>
        <v>#N/A</v>
      </c>
      <c r="AB251" s="42" t="e">
        <f>VLOOKUP($I251,'AnmeldeVSS-Attribute'!$A$2:$H$16,7,FALSE)</f>
        <v>#N/A</v>
      </c>
      <c r="AC251" s="42" t="e">
        <f>IF(I251="Geldbetrag",J251,(IF(T251="",VLOOKUP($I251,'AnmeldeVSS-Attribute'!$A$2:$H$16,8,FALSE),T251)))</f>
        <v>#N/A</v>
      </c>
      <c r="AD251" s="42">
        <f>IF(S251="",0,VLOOKUP(S251,'AnmeldeVSS-Attribute'!$A$20:$B$26,2,FALSE))</f>
        <v>0</v>
      </c>
      <c r="AE251" s="42" t="e">
        <f t="shared" si="23"/>
        <v>#N/A</v>
      </c>
      <c r="AF251" s="42" t="str">
        <f t="shared" si="25"/>
        <v/>
      </c>
      <c r="AG251" s="42" t="str">
        <f t="shared" si="24"/>
        <v/>
      </c>
      <c r="AH251" s="47" t="str">
        <f t="shared" si="26"/>
        <v/>
      </c>
      <c r="AI251" s="47" t="str">
        <f t="shared" si="37"/>
        <v/>
      </c>
      <c r="AJ251" s="42" t="str">
        <f>IF(O251="",(IF(P251="Ansicht","INSERT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B251 &amp;" ,NULL ,'',349,"&amp; VLOOKUP(Q251,'AnmeldeVSS-Attribute'!$A$43:$B$50,2,FALSE)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B251 &amp;" ,"&amp; O251 &amp;" ,"&amp; IF(Q251="ja","'1'",IF(Q251="nein","'0'","'"&amp;Q251&amp;"'")) &amp;","&amp;IF(P251="enthält",349,IF(P251="nicht leer",352,IF(P251="enthält nicht",350,IF(P251="leer",351,0)))) &amp;" ,NULL ,GetDate() ,'scrc' ,GetDate() ,'scrc')")</f>
        <v/>
      </c>
      <c r="AK251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2" spans="1:37" x14ac:dyDescent="0.25">
      <c r="A252" s="66"/>
      <c r="B252" s="66"/>
      <c r="C252" s="68"/>
      <c r="D252" s="68"/>
      <c r="E252" s="66"/>
      <c r="F252" s="64"/>
      <c r="G252" s="64"/>
      <c r="H252" s="64"/>
      <c r="I252" s="68"/>
      <c r="J252" s="68"/>
      <c r="K252" s="68"/>
      <c r="L252" s="68"/>
      <c r="M252" s="66"/>
      <c r="N252" s="66"/>
      <c r="O252" s="66"/>
      <c r="P252" s="66"/>
      <c r="Q252" s="68"/>
      <c r="R252" s="66"/>
      <c r="S252" s="66"/>
      <c r="T252" s="65"/>
      <c r="U252" s="65"/>
      <c r="W252" s="42" t="e">
        <f>VLOOKUP($I252,'AnmeldeVSS-Attribute'!$A$2:$H$16,2,FALSE)</f>
        <v>#N/A</v>
      </c>
      <c r="X252" s="42" t="e">
        <f>VLOOKUP($I252,'AnmeldeVSS-Attribute'!$A$2:$H$16,3,FALSE)</f>
        <v>#N/A</v>
      </c>
      <c r="Y252" s="42" t="e">
        <f>VLOOKUP($I252,'AnmeldeVSS-Attribute'!$A$2:$H$16,4,FALSE)</f>
        <v>#N/A</v>
      </c>
      <c r="Z252" s="42" t="e">
        <f>VLOOKUP($I252,'AnmeldeVSS-Attribute'!$A$2:$H$16,5,FALSE)</f>
        <v>#N/A</v>
      </c>
      <c r="AA252" s="42" t="e">
        <f>VLOOKUP($I252,'AnmeldeVSS-Attribute'!$A$2:$H$16,6,FALSE)</f>
        <v>#N/A</v>
      </c>
      <c r="AB252" s="42" t="e">
        <f>VLOOKUP($I252,'AnmeldeVSS-Attribute'!$A$2:$H$16,7,FALSE)</f>
        <v>#N/A</v>
      </c>
      <c r="AC252" s="42" t="e">
        <f>IF(I252="Geldbetrag",J252,(IF(T252="",VLOOKUP($I252,'AnmeldeVSS-Attribute'!$A$2:$H$16,8,FALSE),T252)))</f>
        <v>#N/A</v>
      </c>
      <c r="AD252" s="42">
        <f>IF(S252="",0,VLOOKUP(S252,'AnmeldeVSS-Attribute'!$A$20:$B$26,2,FALSE))</f>
        <v>0</v>
      </c>
      <c r="AE252" s="42" t="e">
        <f t="shared" si="23"/>
        <v>#N/A</v>
      </c>
      <c r="AF252" s="42" t="str">
        <f t="shared" si="25"/>
        <v/>
      </c>
      <c r="AG252" s="42" t="str">
        <f t="shared" si="24"/>
        <v/>
      </c>
      <c r="AH252" s="47" t="str">
        <f t="shared" si="26"/>
        <v/>
      </c>
      <c r="AI252" s="47" t="str">
        <f t="shared" si="37"/>
        <v/>
      </c>
      <c r="AJ252" s="42" t="str">
        <f>IF(O252="",(IF(P252="Ansicht","INSERT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B252 &amp;" ,NULL ,'',349,"&amp; VLOOKUP(Q252,'AnmeldeVSS-Attribute'!$A$43:$B$50,2,FALSE)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B252 &amp;" ,"&amp; O252 &amp;" ,"&amp; IF(Q252="ja","'1'",IF(Q252="nein","'0'","'"&amp;Q252&amp;"'")) &amp;","&amp;IF(P252="enthält",349,IF(P252="nicht leer",352,IF(P252="enthält nicht",350,IF(P252="leer",351,0)))) &amp;" ,NULL ,GetDate() ,'scrc' ,GetDate() ,'scrc')")</f>
        <v/>
      </c>
      <c r="AK252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3" spans="1:37" x14ac:dyDescent="0.25">
      <c r="A253" s="66"/>
      <c r="B253" s="68"/>
      <c r="C253" s="68"/>
      <c r="D253" s="68"/>
      <c r="E253" s="66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6"/>
      <c r="T253" s="65"/>
      <c r="U253" s="65"/>
      <c r="W253" s="42" t="e">
        <f>VLOOKUP($I253,'AnmeldeVSS-Attribute'!$A$2:$H$16,2,FALSE)</f>
        <v>#N/A</v>
      </c>
      <c r="X253" s="42" t="e">
        <f>VLOOKUP($I253,'AnmeldeVSS-Attribute'!$A$2:$H$16,3,FALSE)</f>
        <v>#N/A</v>
      </c>
      <c r="Y253" s="42" t="e">
        <f>VLOOKUP($I253,'AnmeldeVSS-Attribute'!$A$2:$H$16,4,FALSE)</f>
        <v>#N/A</v>
      </c>
      <c r="Z253" s="42" t="e">
        <f>VLOOKUP($I253,'AnmeldeVSS-Attribute'!$A$2:$H$16,5,FALSE)</f>
        <v>#N/A</v>
      </c>
      <c r="AA253" s="42" t="e">
        <f>VLOOKUP($I253,'AnmeldeVSS-Attribute'!$A$2:$H$16,6,FALSE)</f>
        <v>#N/A</v>
      </c>
      <c r="AB253" s="42" t="e">
        <f>VLOOKUP($I253,'AnmeldeVSS-Attribute'!$A$2:$H$16,7,FALSE)</f>
        <v>#N/A</v>
      </c>
      <c r="AC253" s="42" t="e">
        <f>IF(I253="Geldbetrag",J253,(IF(T253="",VLOOKUP($I253,'AnmeldeVSS-Attribute'!$A$2:$H$16,8,FALSE),T253)))</f>
        <v>#N/A</v>
      </c>
      <c r="AD253" s="42">
        <f>IF(S253="",0,VLOOKUP(S253,'AnmeldeVSS-Attribute'!$A$20:$B$26,2,FALSE))</f>
        <v>0</v>
      </c>
      <c r="AE253" s="42" t="e">
        <f t="shared" si="23"/>
        <v>#N/A</v>
      </c>
      <c r="AF253" s="42" t="str">
        <f t="shared" si="25"/>
        <v/>
      </c>
      <c r="AG253" s="42" t="str">
        <f t="shared" si="24"/>
        <v/>
      </c>
      <c r="AH253" s="47" t="str">
        <f t="shared" si="26"/>
        <v/>
      </c>
      <c r="AI253" s="47" t="str">
        <f t="shared" si="37"/>
        <v/>
      </c>
      <c r="AJ253" s="42" t="str">
        <f>IF(O253="",(IF(P253="Ansicht","INSERT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B253 &amp;" ,NULL ,'',349,"&amp; VLOOKUP(Q253,'AnmeldeVSS-Attribute'!$A$43:$B$50,2,FALSE)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B253 &amp;" ,"&amp; O253 &amp;" ,"&amp; IF(Q253="ja","'1'",IF(Q253="nein","'0'","'"&amp;Q253&amp;"'")) &amp;","&amp;IF(P253="enthält",349,IF(P253="nicht leer",352,IF(P253="enthält nicht",350,IF(P253="leer",351,0)))) &amp;" ,NULL ,GetDate() ,'scrc' ,GetDate() ,'scrc')")</f>
        <v/>
      </c>
      <c r="AK253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4" spans="1:37" x14ac:dyDescent="0.25">
      <c r="A254" s="66"/>
      <c r="B254" s="68"/>
      <c r="C254" s="68"/>
      <c r="D254" s="68"/>
      <c r="E254" s="66"/>
      <c r="F254" s="68"/>
      <c r="G254" s="68"/>
      <c r="H254" s="68"/>
      <c r="I254" s="68"/>
      <c r="J254" s="68"/>
      <c r="K254" s="68"/>
      <c r="L254" s="68"/>
      <c r="M254" s="68"/>
      <c r="N254" s="66"/>
      <c r="O254" s="68"/>
      <c r="P254" s="68"/>
      <c r="Q254" s="68"/>
      <c r="R254" s="68"/>
      <c r="S254" s="66"/>
      <c r="T254" s="65"/>
      <c r="U254" s="65"/>
      <c r="W254" s="42" t="e">
        <f>VLOOKUP($I254,'AnmeldeVSS-Attribute'!$A$2:$H$16,2,FALSE)</f>
        <v>#N/A</v>
      </c>
      <c r="X254" s="42" t="e">
        <f>VLOOKUP($I254,'AnmeldeVSS-Attribute'!$A$2:$H$16,3,FALSE)</f>
        <v>#N/A</v>
      </c>
      <c r="Y254" s="42" t="e">
        <f>VLOOKUP($I254,'AnmeldeVSS-Attribute'!$A$2:$H$16,4,FALSE)</f>
        <v>#N/A</v>
      </c>
      <c r="Z254" s="42" t="e">
        <f>VLOOKUP($I254,'AnmeldeVSS-Attribute'!$A$2:$H$16,5,FALSE)</f>
        <v>#N/A</v>
      </c>
      <c r="AA254" s="42" t="e">
        <f>VLOOKUP($I254,'AnmeldeVSS-Attribute'!$A$2:$H$16,6,FALSE)</f>
        <v>#N/A</v>
      </c>
      <c r="AB254" s="42" t="e">
        <f>VLOOKUP($I254,'AnmeldeVSS-Attribute'!$A$2:$H$16,7,FALSE)</f>
        <v>#N/A</v>
      </c>
      <c r="AC254" s="42" t="e">
        <f>IF(I254="Geldbetrag",J254,(IF(T254="",VLOOKUP($I254,'AnmeldeVSS-Attribute'!$A$2:$H$16,8,FALSE),T254)))</f>
        <v>#N/A</v>
      </c>
      <c r="AD254" s="42">
        <f>IF(S254="",0,VLOOKUP(S254,'AnmeldeVSS-Attribute'!$A$20:$B$26,2,FALSE))</f>
        <v>0</v>
      </c>
      <c r="AE254" s="42" t="e">
        <f t="shared" si="23"/>
        <v>#N/A</v>
      </c>
      <c r="AF254" s="42" t="str">
        <f t="shared" si="25"/>
        <v/>
      </c>
      <c r="AG254" s="42" t="str">
        <f t="shared" si="24"/>
        <v/>
      </c>
      <c r="AH254" s="47" t="str">
        <f t="shared" si="26"/>
        <v/>
      </c>
      <c r="AI254" s="47" t="str">
        <f t="shared" si="37"/>
        <v/>
      </c>
      <c r="AJ254" s="42" t="str">
        <f>IF(O254="",(IF(P254="Ansicht","INSERT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B254 &amp;" ,NULL ,'',349,"&amp; VLOOKUP(Q254,'AnmeldeVSS-Attribute'!$A$43:$B$50,2,FALSE)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B254 &amp;" ,"&amp; O254 &amp;" ,"&amp; IF(Q254="ja","'1'",IF(Q254="nein","'0'","'"&amp;Q254&amp;"'")) &amp;","&amp;IF(P254="enthält",349,IF(P254="nicht leer",352,IF(P254="enthält nicht",350,IF(P254="leer",351,0)))) &amp;" ,NULL ,GetDate() ,'scrc' ,GetDate() ,'scrc')")</f>
        <v/>
      </c>
      <c r="AK254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5" spans="1:37" x14ac:dyDescent="0.25">
      <c r="A255" s="66"/>
      <c r="B255" s="66"/>
      <c r="C255" s="68"/>
      <c r="D255" s="68"/>
      <c r="E255" s="66"/>
      <c r="F255" s="68"/>
      <c r="G255" s="68"/>
      <c r="H255" s="68"/>
      <c r="I255" s="68"/>
      <c r="J255" s="68"/>
      <c r="K255" s="68"/>
      <c r="L255" s="68"/>
      <c r="M255" s="66"/>
      <c r="N255" s="66"/>
      <c r="O255" s="66"/>
      <c r="P255" s="66"/>
      <c r="Q255" s="68"/>
      <c r="R255" s="66"/>
      <c r="S255" s="66"/>
      <c r="T255" s="65"/>
      <c r="U255" s="65"/>
      <c r="W255" s="42" t="e">
        <f>VLOOKUP($I255,'AnmeldeVSS-Attribute'!$A$2:$H$16,2,FALSE)</f>
        <v>#N/A</v>
      </c>
      <c r="X255" s="42" t="e">
        <f>VLOOKUP($I255,'AnmeldeVSS-Attribute'!$A$2:$H$16,3,FALSE)</f>
        <v>#N/A</v>
      </c>
      <c r="Y255" s="42" t="e">
        <f>VLOOKUP($I255,'AnmeldeVSS-Attribute'!$A$2:$H$16,4,FALSE)</f>
        <v>#N/A</v>
      </c>
      <c r="Z255" s="42" t="e">
        <f>VLOOKUP($I255,'AnmeldeVSS-Attribute'!$A$2:$H$16,5,FALSE)</f>
        <v>#N/A</v>
      </c>
      <c r="AA255" s="42" t="e">
        <f>VLOOKUP($I255,'AnmeldeVSS-Attribute'!$A$2:$H$16,6,FALSE)</f>
        <v>#N/A</v>
      </c>
      <c r="AB255" s="42" t="e">
        <f>VLOOKUP($I255,'AnmeldeVSS-Attribute'!$A$2:$H$16,7,FALSE)</f>
        <v>#N/A</v>
      </c>
      <c r="AC255" s="42" t="e">
        <f>IF(I255="Geldbetrag",J255,(IF(T255="",VLOOKUP($I255,'AnmeldeVSS-Attribute'!$A$2:$H$16,8,FALSE),T255)))</f>
        <v>#N/A</v>
      </c>
      <c r="AD255" s="42">
        <f>IF(S255="",0,VLOOKUP(S255,'AnmeldeVSS-Attribute'!$A$20:$B$26,2,FALSE))</f>
        <v>0</v>
      </c>
      <c r="AE255" s="42" t="e">
        <f t="shared" si="23"/>
        <v>#N/A</v>
      </c>
      <c r="AF255" s="42" t="str">
        <f t="shared" si="25"/>
        <v/>
      </c>
      <c r="AG255" s="42" t="str">
        <f t="shared" si="24"/>
        <v/>
      </c>
      <c r="AH255" s="47" t="str">
        <f t="shared" si="26"/>
        <v/>
      </c>
      <c r="AI255" s="47" t="str">
        <f t="shared" si="37"/>
        <v/>
      </c>
      <c r="AJ255" s="42" t="str">
        <f>IF(O255="",(IF(P255="Ansicht","INSERT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B255 &amp;" ,NULL ,'',349,"&amp; VLOOKUP(Q255,'AnmeldeVSS-Attribute'!$A$43:$B$50,2,FALSE)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B255 &amp;" ,"&amp; O255 &amp;" ,"&amp; IF(Q255="ja","'1'",IF(Q255="nein","'0'","'"&amp;Q255&amp;"'")) &amp;","&amp;IF(P255="enthält",349,IF(P255="nicht leer",352,IF(P255="enthält nicht",350,IF(P255="leer",351,0)))) &amp;" ,NULL ,GetDate() ,'scrc' ,GetDate() ,'scrc')")</f>
        <v/>
      </c>
      <c r="AK255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6" spans="1:37" x14ac:dyDescent="0.25">
      <c r="A256" s="66"/>
      <c r="B256" s="63"/>
      <c r="C256" s="64"/>
      <c r="D256" s="64"/>
      <c r="E256" s="63"/>
      <c r="F256" s="64"/>
      <c r="G256" s="64"/>
      <c r="H256" s="64"/>
      <c r="I256" s="64"/>
      <c r="J256" s="64"/>
      <c r="K256" s="64"/>
      <c r="L256" s="64"/>
      <c r="M256" s="63"/>
      <c r="N256" s="63"/>
      <c r="O256" s="63"/>
      <c r="P256" s="63"/>
      <c r="Q256" s="64"/>
      <c r="R256" s="63"/>
      <c r="S256" s="55"/>
      <c r="T256" s="65"/>
      <c r="U256" s="65"/>
      <c r="W256" s="42" t="e">
        <f>VLOOKUP($I256,'AnmeldeVSS-Attribute'!$A$2:$H$16,2,FALSE)</f>
        <v>#N/A</v>
      </c>
      <c r="X256" s="42" t="e">
        <f>VLOOKUP($I256,'AnmeldeVSS-Attribute'!$A$2:$H$16,3,FALSE)</f>
        <v>#N/A</v>
      </c>
      <c r="Y256" s="42" t="e">
        <f>VLOOKUP($I256,'AnmeldeVSS-Attribute'!$A$2:$H$16,4,FALSE)</f>
        <v>#N/A</v>
      </c>
      <c r="Z256" s="42" t="e">
        <f>VLOOKUP($I256,'AnmeldeVSS-Attribute'!$A$2:$H$16,5,FALSE)</f>
        <v>#N/A</v>
      </c>
      <c r="AA256" s="42" t="e">
        <f>VLOOKUP($I256,'AnmeldeVSS-Attribute'!$A$2:$H$16,6,FALSE)</f>
        <v>#N/A</v>
      </c>
      <c r="AB256" s="42" t="e">
        <f>VLOOKUP($I256,'AnmeldeVSS-Attribute'!$A$2:$H$16,7,FALSE)</f>
        <v>#N/A</v>
      </c>
      <c r="AC256" s="42" t="e">
        <f>IF(I256="Geldbetrag",J256,(IF(T256="",VLOOKUP($I256,'AnmeldeVSS-Attribute'!$A$2:$H$16,8,FALSE),T256)))</f>
        <v>#N/A</v>
      </c>
      <c r="AD256" s="42">
        <f>IF(S256="",0,VLOOKUP(S256,'AnmeldeVSS-Attribute'!$A$20:$B$26,2,FALSE))</f>
        <v>0</v>
      </c>
      <c r="AE256" s="42" t="e">
        <f t="shared" si="23"/>
        <v>#N/A</v>
      </c>
      <c r="AF256" s="42" t="str">
        <f t="shared" si="25"/>
        <v/>
      </c>
      <c r="AG256" s="42" t="str">
        <f t="shared" si="24"/>
        <v/>
      </c>
      <c r="AH256" s="47" t="str">
        <f t="shared" si="26"/>
        <v/>
      </c>
      <c r="AI256" s="47" t="str">
        <f t="shared" si="37"/>
        <v/>
      </c>
      <c r="AJ256" s="42" t="str">
        <f>IF(O256="",(IF(P256="Ansicht","INSERT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B256 &amp;" ,NULL ,'',349,"&amp; VLOOKUP(Q256,'AnmeldeVSS-Attribute'!$A$43:$B$50,2,FALSE)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B256 &amp;" ,"&amp; O256 &amp;" ,"&amp; IF(Q256="ja","'1'",IF(Q256="nein","'0'","'"&amp;Q256&amp;"'")) &amp;","&amp;IF(P256="enthält",349,IF(P256="nicht leer",352,IF(P256="enthält nicht",350,IF(P256="leer",351,0)))) &amp;" ,NULL ,GetDate() ,'scrc' ,GetDate() ,'scrc')")</f>
        <v/>
      </c>
      <c r="AK256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7" spans="1:37" x14ac:dyDescent="0.25">
      <c r="A257" s="66"/>
      <c r="B257" s="63"/>
      <c r="C257" s="64"/>
      <c r="D257" s="52"/>
      <c r="E257" s="63"/>
      <c r="F257" s="64"/>
      <c r="G257" s="64"/>
      <c r="H257" s="64"/>
      <c r="I257" s="64"/>
      <c r="J257" s="41"/>
      <c r="K257" s="41"/>
      <c r="L257" s="41"/>
      <c r="M257" s="63"/>
      <c r="N257" s="63"/>
      <c r="O257" s="63"/>
      <c r="P257" s="63"/>
      <c r="Q257" s="64"/>
      <c r="R257" s="63"/>
      <c r="S257" s="63"/>
      <c r="T257" s="65"/>
      <c r="U257" s="65"/>
      <c r="W257" s="42" t="e">
        <f>VLOOKUP($I257,'AnmeldeVSS-Attribute'!$A$2:$H$16,2,FALSE)</f>
        <v>#N/A</v>
      </c>
      <c r="X257" s="42" t="e">
        <f>VLOOKUP($I257,'AnmeldeVSS-Attribute'!$A$2:$H$16,3,FALSE)</f>
        <v>#N/A</v>
      </c>
      <c r="Y257" s="42" t="e">
        <f>VLOOKUP($I257,'AnmeldeVSS-Attribute'!$A$2:$H$16,4,FALSE)</f>
        <v>#N/A</v>
      </c>
      <c r="Z257" s="42" t="e">
        <f>VLOOKUP($I257,'AnmeldeVSS-Attribute'!$A$2:$H$16,5,FALSE)</f>
        <v>#N/A</v>
      </c>
      <c r="AA257" s="42" t="e">
        <f>VLOOKUP($I257,'AnmeldeVSS-Attribute'!$A$2:$H$16,6,FALSE)</f>
        <v>#N/A</v>
      </c>
      <c r="AB257" s="42" t="e">
        <f>VLOOKUP($I257,'AnmeldeVSS-Attribute'!$A$2:$H$16,7,FALSE)</f>
        <v>#N/A</v>
      </c>
      <c r="AC257" s="42" t="e">
        <f>IF(I257="Geldbetrag",J257,(IF(T257="",VLOOKUP($I257,'AnmeldeVSS-Attribute'!$A$2:$H$16,8,FALSE),T257)))</f>
        <v>#N/A</v>
      </c>
      <c r="AD257" s="42">
        <f>IF(S257="",0,VLOOKUP(S257,'AnmeldeVSS-Attribute'!$A$20:$B$26,2,FALSE))</f>
        <v>0</v>
      </c>
      <c r="AE257" s="42" t="e">
        <f t="shared" si="23"/>
        <v>#N/A</v>
      </c>
      <c r="AF257" s="42" t="str">
        <f t="shared" si="25"/>
        <v/>
      </c>
      <c r="AG257" s="42" t="str">
        <f t="shared" si="24"/>
        <v/>
      </c>
      <c r="AH257" s="47" t="str">
        <f t="shared" si="26"/>
        <v/>
      </c>
      <c r="AI257" s="47" t="str">
        <f t="shared" si="37"/>
        <v/>
      </c>
      <c r="AJ257" s="42" t="str">
        <f>IF(O257="",(IF(P257="Ansicht","INSERT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B257 &amp;" ,NULL ,'',349,"&amp; VLOOKUP(Q257,'AnmeldeVSS-Attribute'!$A$43:$B$50,2,FALSE)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B257 &amp;" ,"&amp; O257 &amp;" ,"&amp; IF(Q257="ja","'1'",IF(Q257="nein","'0'","'"&amp;Q257&amp;"'")) &amp;","&amp;IF(P257="enthält",349,IF(P257="nicht leer",352,IF(P257="enthält nicht",350,IF(P257="leer",351,0)))) &amp;" ,NULL ,GetDate() ,'scrc' ,GetDate() ,'scrc')")</f>
        <v/>
      </c>
      <c r="AK257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8" spans="1:37" x14ac:dyDescent="0.25">
      <c r="A258" s="65"/>
      <c r="B258" s="65"/>
      <c r="C258" s="61"/>
      <c r="D258" s="61"/>
      <c r="E258" s="65"/>
      <c r="F258" s="61"/>
      <c r="G258" s="61"/>
      <c r="H258" s="61"/>
      <c r="I258" s="61"/>
      <c r="J258" s="61"/>
      <c r="K258" s="61"/>
      <c r="L258" s="61"/>
      <c r="M258" s="65"/>
      <c r="N258" s="65"/>
      <c r="O258" s="65"/>
      <c r="P258" s="65"/>
      <c r="Q258" s="61"/>
      <c r="R258" s="65"/>
      <c r="S258" s="65"/>
      <c r="T258" s="65"/>
      <c r="U258" s="65"/>
      <c r="AH258" s="47"/>
      <c r="AI258" s="47"/>
      <c r="AK258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59" spans="1:37" x14ac:dyDescent="0.25">
      <c r="A259" s="65"/>
      <c r="B259" s="65"/>
      <c r="C259" s="61"/>
      <c r="D259" s="61"/>
      <c r="E259" s="65"/>
      <c r="F259" s="61"/>
      <c r="G259" s="61"/>
      <c r="H259" s="61"/>
      <c r="I259" s="61"/>
      <c r="J259" s="61"/>
      <c r="K259" s="61"/>
      <c r="L259" s="61"/>
      <c r="M259" s="65"/>
      <c r="N259" s="65"/>
      <c r="O259" s="65"/>
      <c r="P259" s="65"/>
      <c r="Q259" s="61"/>
      <c r="R259" s="65"/>
      <c r="S259" s="65"/>
      <c r="T259" s="65"/>
      <c r="U259" s="65"/>
      <c r="AH259" s="47"/>
      <c r="AI259" s="47"/>
      <c r="AK259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0" spans="1:37" x14ac:dyDescent="0.25">
      <c r="A260" s="65"/>
      <c r="B260" s="65"/>
      <c r="C260" s="61"/>
      <c r="D260" s="61"/>
      <c r="E260" s="65"/>
      <c r="F260" s="61"/>
      <c r="G260" s="61"/>
      <c r="H260" s="61"/>
      <c r="I260" s="61"/>
      <c r="J260" s="61"/>
      <c r="K260" s="61"/>
      <c r="L260" s="61"/>
      <c r="M260" s="65"/>
      <c r="N260" s="65"/>
      <c r="O260" s="65"/>
      <c r="P260" s="65"/>
      <c r="Q260" s="61"/>
      <c r="R260" s="65"/>
      <c r="S260" s="65"/>
      <c r="T260" s="65"/>
      <c r="U260" s="65"/>
      <c r="AH260" s="47"/>
      <c r="AI260" s="47"/>
      <c r="AK260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1" spans="1:37" x14ac:dyDescent="0.25">
      <c r="A261" s="65"/>
      <c r="B261" s="65"/>
      <c r="C261" s="61"/>
      <c r="D261" s="61"/>
      <c r="E261" s="65"/>
      <c r="F261" s="61"/>
      <c r="G261" s="61"/>
      <c r="H261" s="61"/>
      <c r="I261" s="61"/>
      <c r="J261" s="61"/>
      <c r="K261" s="61"/>
      <c r="L261" s="61"/>
      <c r="M261" s="65"/>
      <c r="N261" s="65"/>
      <c r="O261" s="65"/>
      <c r="P261" s="65"/>
      <c r="Q261" s="61"/>
      <c r="R261" s="65"/>
      <c r="S261" s="65"/>
      <c r="T261" s="65"/>
      <c r="U261" s="65"/>
      <c r="AH261" s="47"/>
      <c r="AI261" s="47"/>
      <c r="AK261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2" spans="1:37" x14ac:dyDescent="0.25">
      <c r="A262" s="70"/>
      <c r="B262" s="70"/>
      <c r="C262" s="71"/>
      <c r="D262" s="71"/>
      <c r="E262" s="70"/>
      <c r="F262" s="71"/>
      <c r="G262" s="71"/>
      <c r="H262" s="71"/>
      <c r="I262" s="71"/>
      <c r="J262" s="71"/>
      <c r="K262" s="71"/>
      <c r="L262" s="71"/>
      <c r="M262" s="70"/>
      <c r="N262" s="70"/>
      <c r="O262" s="70"/>
      <c r="P262" s="70"/>
      <c r="Q262" s="71"/>
      <c r="R262" s="70"/>
      <c r="S262" s="70"/>
      <c r="T262" s="65"/>
      <c r="U262" s="65"/>
      <c r="AH262" s="47"/>
      <c r="AI262" s="47"/>
      <c r="AK262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3" spans="1:37" x14ac:dyDescent="0.25">
      <c r="A263" s="66"/>
      <c r="B263" s="66"/>
      <c r="C263" s="68"/>
      <c r="D263" s="68"/>
      <c r="E263" s="66"/>
      <c r="F263" s="68"/>
      <c r="G263" s="68"/>
      <c r="H263" s="68"/>
      <c r="I263" s="68"/>
      <c r="J263" s="68"/>
      <c r="K263" s="68"/>
      <c r="L263" s="68"/>
      <c r="M263" s="66"/>
      <c r="N263" s="66"/>
      <c r="O263" s="66"/>
      <c r="P263" s="66"/>
      <c r="Q263" s="68"/>
      <c r="R263" s="66"/>
      <c r="S263" s="66"/>
      <c r="T263" s="65"/>
      <c r="U263" s="65"/>
      <c r="W263" s="42" t="e">
        <f>VLOOKUP($I263,'AnmeldeVSS-Attribute'!$A$2:$H$16,2,FALSE)</f>
        <v>#N/A</v>
      </c>
      <c r="X263" s="42" t="e">
        <f>VLOOKUP($I263,'AnmeldeVSS-Attribute'!$A$2:$H$16,3,FALSE)</f>
        <v>#N/A</v>
      </c>
      <c r="Y263" s="42" t="e">
        <f>VLOOKUP($I263,'AnmeldeVSS-Attribute'!$A$2:$H$16,4,FALSE)</f>
        <v>#N/A</v>
      </c>
      <c r="Z263" s="42" t="e">
        <f>VLOOKUP($I263,'AnmeldeVSS-Attribute'!$A$2:$H$16,5,FALSE)</f>
        <v>#N/A</v>
      </c>
      <c r="AA263" s="42" t="e">
        <f>VLOOKUP($I263,'AnmeldeVSS-Attribute'!$A$2:$H$16,6,FALSE)</f>
        <v>#N/A</v>
      </c>
      <c r="AB263" s="42" t="e">
        <f>VLOOKUP($I263,'AnmeldeVSS-Attribute'!$A$2:$H$16,7,FALSE)</f>
        <v>#N/A</v>
      </c>
      <c r="AC263" s="42" t="e">
        <f>IF(I263="Geldbetrag",J263,(IF(T263="",VLOOKUP($I263,'AnmeldeVSS-Attribute'!$A$2:$H$16,8,FALSE),T263)))</f>
        <v>#N/A</v>
      </c>
      <c r="AD263" s="42">
        <f>IF(S263="",0,VLOOKUP(S263,'AnmeldeVSS-Attribute'!$A$20:$B$26,2,FALSE))</f>
        <v>0</v>
      </c>
      <c r="AE263" s="42" t="e">
        <f t="shared" ref="AE263:AE279" si="38">"IF NOT EXISTS(SELECT * FROM tblAnmeldeVSS WHERE IdAnlass = "&amp;IDAnlass&amp;" AND IdAnmeldeVSS = "&amp;B263&amp;") INSERT INTO [tblAnmeldeVSS]( [IDAnlass], [IDAnmeldeVSS], [AnmeldeVSSAnmeldung], [AnmeldeVSSBezeichnung], [AnmeldeVSSBeschriftung],[AnmeldeVSSTyp], [AnmeldeVSSStil], [AnmeldeVSSArt], [AnmeldeVSSImmerSichtbar],"
&amp;" [AnmeldeVSSInternet], [AnmeldeVSSSort], [AnmeldeVssTypEx], [AnmeldeVssObjektTyp], [AnmeldeVssOTIdELKGroup],"
&amp;" [Erfassung], [ErfassungVon], [Aenderung], [AenderungVon], [AnmeldeVSSStyleSet], [AnmeldeVSSRowSource], [AnmeldeVSSDefaultWert], [AnmeldeVSSTooltip],[AnmeldeVSSOTLookupFieldsTyp])"
&amp;" VALUES("&amp;IDAnlass&amp;", "&amp;B263&amp;", 0, '"&amp;C263&amp;"', '"&amp;LEFT(E263,20)&amp;"', '"&amp;W263&amp;"', '"&amp;X263&amp;"', '"&amp;Y263&amp;"', "&amp;IF(M263="Ja","1","0")&amp;", "&amp;IF(N263="lesen","'R'",IF(N263="ändern","'E'","'H'"))&amp;", 
 '"&amp;A263&amp;"', "&amp;Z263&amp;", "&amp;AA263&amp;", "&amp;AB263&amp;", GetDate(), '"&amp;IDBenutzer&amp;"', GetDate(), '"&amp;IDBenutzer&amp;"',
0, "
&amp;IF(I263="LookupKey","'SELECT ELVValue, IDELK
FROM   qryEvt_Bus_EventoLookupKey_All
WHERE  IDELKGroup = "&amp;AB263&amp;"
AND    ELVLangCode = @KontextIdLanguage
AND    SUBSTRING(ELKAdminModus, 2, 1) &lt;&gt; ''H''
ORDER BY ELVSort'",(IF(I263="Arbeitsanweisung","'SELECT LookupfieldsValue FROM   tblLookupfields WHERE  LookupfieldsTyp = ''Arbeitsanweisung'' ORDER BY LookupFieldsSort'","Null")))&amp;", "
&amp;IF(AC263&lt;&gt;"","'"&amp;AC263&amp;"'","NULL")&amp;", '"&amp;G263&amp;"' ,"&amp;IF(I263="Arbeitsanweisung","'Arbeitsanweisung'","NULL")&amp;")"</f>
        <v>#N/A</v>
      </c>
      <c r="AF263" s="42" t="str">
        <f t="shared" ref="AF263:AF279" si="39">IF(B263&lt;100000,"",AE263)</f>
        <v/>
      </c>
      <c r="AG263" s="42" t="str">
        <f t="shared" ref="AG263:AG279" si="40">IF($A263="","","Update tblAnmeldeVSS Set AnmeldeVSSSort ='"&amp; A263 &amp;"', AnmeldeVSSZuPruefen ="&amp; IF(R263="Ja",1,0) &amp;", AnmeldeVSSStyleSet ="&amp; AD263 &amp;", AnmeldeVSSInternet= "&amp;IF(N263="lesen","'R'",IF(N263="ändern","'E'",IF(N263="muss","'M'","'H'")))&amp;", AnmeldeVSSImmerSichtbar = " &amp; IF(M263="Ja",1,0) &amp; ", AnmeldeVSSDefaultWert=" &amp; IF(AC263&lt;&gt;"","'"&amp;AC263&amp;"'","NULL") &amp; ", AnmeldeVSSMuss="&amp; IF(L263="Ja",1,0) &amp;" Where IdAnlass=" &amp; IDAnlass &amp; " AND IdAnmeldeVSS = " &amp; B263)</f>
        <v/>
      </c>
      <c r="AH263" s="47" t="str">
        <f t="shared" ref="AH263:AH279" si="41">IF(AF263="","",IF(J263="","",IF(I263="LookupField",AK263,"")))</f>
        <v/>
      </c>
      <c r="AI263" s="47" t="str">
        <f t="shared" si="37"/>
        <v/>
      </c>
      <c r="AJ263" s="42" t="str">
        <f>IF(O263="",(IF(P263="Ansicht","INSERT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B263 &amp;" ,NULL ,'',349,"&amp; VLOOKUP(Q263,'AnmeldeVSS-Attribute'!$A$43:$B$50,2,FALSE)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B263 &amp;" ,"&amp; O263 &amp;" ,"&amp; IF(Q263="ja","'1'",IF(Q263="nein","'0'","'"&amp;Q263&amp;"'")) &amp;","&amp;IF(P263="enthält",349,IF(P263="nicht leer",352,IF(P263="enthält nicht",350,IF(P263="leer",351,0)))) &amp;" ,NULL ,GetDate() ,'scrc' ,GetDate() ,'scrc')")</f>
        <v/>
      </c>
      <c r="AK263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4" spans="1:37" x14ac:dyDescent="0.25">
      <c r="A264" s="66"/>
      <c r="B264" s="66"/>
      <c r="C264" s="68"/>
      <c r="D264" s="68"/>
      <c r="E264" s="66"/>
      <c r="F264" s="68"/>
      <c r="G264" s="68"/>
      <c r="H264" s="68"/>
      <c r="I264" s="68"/>
      <c r="J264" s="68"/>
      <c r="K264" s="68"/>
      <c r="L264" s="68"/>
      <c r="M264" s="66"/>
      <c r="N264" s="66"/>
      <c r="O264" s="66"/>
      <c r="P264" s="66"/>
      <c r="Q264" s="68"/>
      <c r="R264" s="66"/>
      <c r="S264" s="66"/>
      <c r="T264" s="65"/>
      <c r="U264" s="65"/>
      <c r="W264" s="42" t="e">
        <f>VLOOKUP($I264,'AnmeldeVSS-Attribute'!$A$2:$H$16,2,FALSE)</f>
        <v>#N/A</v>
      </c>
      <c r="X264" s="42" t="e">
        <f>VLOOKUP($I264,'AnmeldeVSS-Attribute'!$A$2:$H$16,3,FALSE)</f>
        <v>#N/A</v>
      </c>
      <c r="Y264" s="42" t="e">
        <f>VLOOKUP($I264,'AnmeldeVSS-Attribute'!$A$2:$H$16,4,FALSE)</f>
        <v>#N/A</v>
      </c>
      <c r="Z264" s="42" t="e">
        <f>VLOOKUP($I264,'AnmeldeVSS-Attribute'!$A$2:$H$16,5,FALSE)</f>
        <v>#N/A</v>
      </c>
      <c r="AA264" s="42" t="e">
        <f>VLOOKUP($I264,'AnmeldeVSS-Attribute'!$A$2:$H$16,6,FALSE)</f>
        <v>#N/A</v>
      </c>
      <c r="AB264" s="42" t="e">
        <f>VLOOKUP($I264,'AnmeldeVSS-Attribute'!$A$2:$H$16,7,FALSE)</f>
        <v>#N/A</v>
      </c>
      <c r="AC264" s="42" t="e">
        <f>IF(I264="Geldbetrag",J264,(IF(T264="",VLOOKUP($I264,'AnmeldeVSS-Attribute'!$A$2:$H$16,8,FALSE),T264)))</f>
        <v>#N/A</v>
      </c>
      <c r="AD264" s="42">
        <f>IF(S264="",0,VLOOKUP(S264,'AnmeldeVSS-Attribute'!$A$20:$B$26,2,FALSE))</f>
        <v>0</v>
      </c>
      <c r="AE264" s="42" t="e">
        <f t="shared" si="38"/>
        <v>#N/A</v>
      </c>
      <c r="AF264" s="42" t="str">
        <f t="shared" si="39"/>
        <v/>
      </c>
      <c r="AG264" s="42" t="str">
        <f t="shared" si="40"/>
        <v/>
      </c>
      <c r="AH264" s="47" t="str">
        <f t="shared" si="41"/>
        <v/>
      </c>
      <c r="AI264" s="47" t="str">
        <f t="shared" si="37"/>
        <v/>
      </c>
      <c r="AJ264" s="42" t="str">
        <f>IF(O264="",(IF(P264="Ansicht","INSERT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B264 &amp;" ,NULL ,'',349,"&amp; VLOOKUP(Q264,'AnmeldeVSS-Attribute'!$A$43:$B$50,2,FALSE)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B264 &amp;" ,"&amp; O264 &amp;" ,"&amp; IF(Q264="ja","'1'",IF(Q264="nein","'0'","'"&amp;Q264&amp;"'")) &amp;","&amp;IF(P264="enthält",349,IF(P264="nicht leer",352,IF(P264="enthält nicht",350,IF(P264="leer",351,0)))) &amp;" ,NULL ,GetDate() ,'scrc' ,GetDate() ,'scrc')")</f>
        <v/>
      </c>
      <c r="AK264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5" spans="1:37" x14ac:dyDescent="0.25">
      <c r="A265" s="66"/>
      <c r="B265" s="66"/>
      <c r="C265" s="68"/>
      <c r="D265" s="68"/>
      <c r="E265" s="66"/>
      <c r="F265" s="68"/>
      <c r="G265" s="68"/>
      <c r="H265" s="68"/>
      <c r="I265" s="68"/>
      <c r="J265" s="68"/>
      <c r="K265" s="68"/>
      <c r="L265" s="68"/>
      <c r="M265" s="66"/>
      <c r="N265" s="66"/>
      <c r="O265" s="66"/>
      <c r="P265" s="66"/>
      <c r="Q265" s="68"/>
      <c r="R265" s="66"/>
      <c r="S265" s="66"/>
      <c r="T265" s="65"/>
      <c r="U265" s="65"/>
      <c r="W265" s="42" t="e">
        <f>VLOOKUP($I265,'AnmeldeVSS-Attribute'!$A$2:$H$16,2,FALSE)</f>
        <v>#N/A</v>
      </c>
      <c r="X265" s="42" t="e">
        <f>VLOOKUP($I265,'AnmeldeVSS-Attribute'!$A$2:$H$16,3,FALSE)</f>
        <v>#N/A</v>
      </c>
      <c r="Y265" s="42" t="e">
        <f>VLOOKUP($I265,'AnmeldeVSS-Attribute'!$A$2:$H$16,4,FALSE)</f>
        <v>#N/A</v>
      </c>
      <c r="Z265" s="42" t="e">
        <f>VLOOKUP($I265,'AnmeldeVSS-Attribute'!$A$2:$H$16,5,FALSE)</f>
        <v>#N/A</v>
      </c>
      <c r="AA265" s="42" t="e">
        <f>VLOOKUP($I265,'AnmeldeVSS-Attribute'!$A$2:$H$16,6,FALSE)</f>
        <v>#N/A</v>
      </c>
      <c r="AB265" s="42" t="e">
        <f>VLOOKUP($I265,'AnmeldeVSS-Attribute'!$A$2:$H$16,7,FALSE)</f>
        <v>#N/A</v>
      </c>
      <c r="AC265" s="42" t="e">
        <f>IF(I265="Geldbetrag",J265,(IF(T265="",VLOOKUP($I265,'AnmeldeVSS-Attribute'!$A$2:$H$16,8,FALSE),T265)))</f>
        <v>#N/A</v>
      </c>
      <c r="AD265" s="42">
        <f>IF(S265="",0,VLOOKUP(S265,'AnmeldeVSS-Attribute'!$A$20:$B$26,2,FALSE))</f>
        <v>0</v>
      </c>
      <c r="AE265" s="42" t="e">
        <f t="shared" si="38"/>
        <v>#N/A</v>
      </c>
      <c r="AF265" s="42" t="str">
        <f t="shared" si="39"/>
        <v/>
      </c>
      <c r="AG265" s="42" t="str">
        <f t="shared" si="40"/>
        <v/>
      </c>
      <c r="AH265" s="47" t="str">
        <f t="shared" si="41"/>
        <v/>
      </c>
      <c r="AI265" s="47" t="str">
        <f t="shared" si="37"/>
        <v/>
      </c>
      <c r="AJ265" s="42" t="str">
        <f>IF(O265="",(IF(P265="Ansicht","INSERT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B265 &amp;" ,NULL ,'',349,"&amp; VLOOKUP(Q265,'AnmeldeVSS-Attribute'!$A$43:$B$50,2,FALSE)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B265 &amp;" ,"&amp; O265 &amp;" ,"&amp; IF(Q265="ja","'1'",IF(Q265="nein","'0'","'"&amp;Q265&amp;"'")) &amp;","&amp;IF(P265="enthält",349,IF(P265="nicht leer",352,IF(P265="enthält nicht",350,IF(P265="leer",351,0)))) &amp;" ,NULL ,GetDate() ,'scrc' ,GetDate() ,'scrc')")</f>
        <v/>
      </c>
      <c r="AK265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6" spans="1:37" x14ac:dyDescent="0.25">
      <c r="A266" s="66"/>
      <c r="B266" s="66"/>
      <c r="C266" s="68"/>
      <c r="D266" s="68"/>
      <c r="E266" s="66"/>
      <c r="F266" s="68"/>
      <c r="G266" s="68"/>
      <c r="H266" s="68"/>
      <c r="I266" s="68"/>
      <c r="J266" s="68"/>
      <c r="K266" s="68"/>
      <c r="L266" s="68"/>
      <c r="M266" s="66"/>
      <c r="N266" s="66"/>
      <c r="O266" s="66"/>
      <c r="P266" s="66"/>
      <c r="Q266" s="68"/>
      <c r="R266" s="66"/>
      <c r="S266" s="66"/>
      <c r="T266" s="65"/>
      <c r="U266" s="65"/>
      <c r="W266" s="42" t="e">
        <f>VLOOKUP($I266,'AnmeldeVSS-Attribute'!$A$2:$H$16,2,FALSE)</f>
        <v>#N/A</v>
      </c>
      <c r="X266" s="42" t="e">
        <f>VLOOKUP($I266,'AnmeldeVSS-Attribute'!$A$2:$H$16,3,FALSE)</f>
        <v>#N/A</v>
      </c>
      <c r="Y266" s="42" t="e">
        <f>VLOOKUP($I266,'AnmeldeVSS-Attribute'!$A$2:$H$16,4,FALSE)</f>
        <v>#N/A</v>
      </c>
      <c r="Z266" s="42" t="e">
        <f>VLOOKUP($I266,'AnmeldeVSS-Attribute'!$A$2:$H$16,5,FALSE)</f>
        <v>#N/A</v>
      </c>
      <c r="AA266" s="42" t="e">
        <f>VLOOKUP($I266,'AnmeldeVSS-Attribute'!$A$2:$H$16,6,FALSE)</f>
        <v>#N/A</v>
      </c>
      <c r="AB266" s="42" t="e">
        <f>VLOOKUP($I266,'AnmeldeVSS-Attribute'!$A$2:$H$16,7,FALSE)</f>
        <v>#N/A</v>
      </c>
      <c r="AC266" s="42" t="e">
        <f>IF(I266="Geldbetrag",J266,(IF(T266="",VLOOKUP($I266,'AnmeldeVSS-Attribute'!$A$2:$H$16,8,FALSE),T266)))</f>
        <v>#N/A</v>
      </c>
      <c r="AD266" s="42">
        <f>IF(S266="",0,VLOOKUP(S266,'AnmeldeVSS-Attribute'!$A$20:$B$26,2,FALSE))</f>
        <v>0</v>
      </c>
      <c r="AE266" s="42" t="e">
        <f t="shared" si="38"/>
        <v>#N/A</v>
      </c>
      <c r="AF266" s="42" t="str">
        <f t="shared" si="39"/>
        <v/>
      </c>
      <c r="AG266" s="42" t="str">
        <f t="shared" si="40"/>
        <v/>
      </c>
      <c r="AH266" s="47" t="str">
        <f t="shared" si="41"/>
        <v/>
      </c>
      <c r="AI266" s="47" t="str">
        <f t="shared" si="37"/>
        <v/>
      </c>
      <c r="AJ266" s="42" t="str">
        <f>IF(O266="",(IF(P266="Ansicht","INSERT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B266 &amp;" ,NULL ,'',349,"&amp; VLOOKUP(Q266,'AnmeldeVSS-Attribute'!$A$43:$B$50,2,FALSE)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B266 &amp;" ,"&amp; O266 &amp;" ,"&amp; IF(Q266="ja","'1'",IF(Q266="nein","'0'","'"&amp;Q266&amp;"'")) &amp;","&amp;IF(P266="enthält",349,IF(P266="nicht leer",352,IF(P266="enthält nicht",350,IF(P266="leer",351,0)))) &amp;" ,NULL ,GetDate() ,'scrc' ,GetDate() ,'scrc')")</f>
        <v/>
      </c>
      <c r="AK266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7" spans="1:37" x14ac:dyDescent="0.25">
      <c r="A267" s="66"/>
      <c r="B267" s="66"/>
      <c r="C267" s="68"/>
      <c r="D267" s="68"/>
      <c r="E267" s="66"/>
      <c r="F267" s="68"/>
      <c r="G267" s="68"/>
      <c r="H267" s="68"/>
      <c r="I267" s="68"/>
      <c r="J267" s="68"/>
      <c r="K267" s="68"/>
      <c r="L267" s="68"/>
      <c r="M267" s="66"/>
      <c r="N267" s="66"/>
      <c r="O267" s="66"/>
      <c r="P267" s="66"/>
      <c r="Q267" s="68"/>
      <c r="R267" s="66"/>
      <c r="S267" s="66"/>
      <c r="T267" s="65"/>
      <c r="U267" s="65"/>
      <c r="W267" s="42" t="e">
        <f>VLOOKUP($I267,'AnmeldeVSS-Attribute'!$A$2:$H$16,2,FALSE)</f>
        <v>#N/A</v>
      </c>
      <c r="X267" s="42" t="e">
        <f>VLOOKUP($I267,'AnmeldeVSS-Attribute'!$A$2:$H$16,3,FALSE)</f>
        <v>#N/A</v>
      </c>
      <c r="Y267" s="42" t="e">
        <f>VLOOKUP($I267,'AnmeldeVSS-Attribute'!$A$2:$H$16,4,FALSE)</f>
        <v>#N/A</v>
      </c>
      <c r="Z267" s="42" t="e">
        <f>VLOOKUP($I267,'AnmeldeVSS-Attribute'!$A$2:$H$16,5,FALSE)</f>
        <v>#N/A</v>
      </c>
      <c r="AA267" s="42" t="e">
        <f>VLOOKUP($I267,'AnmeldeVSS-Attribute'!$A$2:$H$16,6,FALSE)</f>
        <v>#N/A</v>
      </c>
      <c r="AB267" s="42" t="e">
        <f>VLOOKUP($I267,'AnmeldeVSS-Attribute'!$A$2:$H$16,7,FALSE)</f>
        <v>#N/A</v>
      </c>
      <c r="AC267" s="42" t="e">
        <f>IF(I267="Geldbetrag",J267,(IF(T267="",VLOOKUP($I267,'AnmeldeVSS-Attribute'!$A$2:$H$16,8,FALSE),T267)))</f>
        <v>#N/A</v>
      </c>
      <c r="AD267" s="42">
        <f>IF(S267="",0,VLOOKUP(S267,'AnmeldeVSS-Attribute'!$A$20:$B$26,2,FALSE))</f>
        <v>0</v>
      </c>
      <c r="AE267" s="42" t="e">
        <f t="shared" si="38"/>
        <v>#N/A</v>
      </c>
      <c r="AF267" s="42" t="str">
        <f t="shared" si="39"/>
        <v/>
      </c>
      <c r="AG267" s="42" t="str">
        <f t="shared" si="40"/>
        <v/>
      </c>
      <c r="AH267" s="47" t="str">
        <f t="shared" si="41"/>
        <v/>
      </c>
      <c r="AI267" s="47" t="str">
        <f t="shared" si="37"/>
        <v/>
      </c>
      <c r="AJ267" s="42" t="str">
        <f>IF(O267="",(IF(P267="Ansicht","INSERT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B267 &amp;" ,NULL ,'',349,"&amp; VLOOKUP(Q267,'AnmeldeVSS-Attribute'!$A$43:$B$50,2,FALSE)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B267 &amp;" ,"&amp; O267 &amp;" ,"&amp; IF(Q267="ja","'1'",IF(Q267="nein","'0'","'"&amp;Q267&amp;"'")) &amp;","&amp;IF(P267="enthält",349,IF(P267="nicht leer",352,IF(P267="enthält nicht",350,IF(P267="leer",351,0)))) &amp;" ,NULL ,GetDate() ,'scrc' ,GetDate() ,'scrc')")</f>
        <v/>
      </c>
      <c r="AK267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8" spans="1:37" x14ac:dyDescent="0.25">
      <c r="A268" s="66"/>
      <c r="B268" s="66"/>
      <c r="C268" s="68"/>
      <c r="D268" s="68"/>
      <c r="E268" s="66"/>
      <c r="F268" s="68"/>
      <c r="G268" s="68"/>
      <c r="H268" s="68"/>
      <c r="I268" s="68"/>
      <c r="J268" s="68"/>
      <c r="K268" s="68"/>
      <c r="L268" s="68"/>
      <c r="M268" s="66"/>
      <c r="N268" s="66"/>
      <c r="O268" s="66"/>
      <c r="P268" s="66"/>
      <c r="Q268" s="68"/>
      <c r="R268" s="66"/>
      <c r="S268" s="66"/>
      <c r="T268" s="65"/>
      <c r="U268" s="65"/>
      <c r="W268" s="42" t="e">
        <f>VLOOKUP($I268,'AnmeldeVSS-Attribute'!$A$2:$H$16,2,FALSE)</f>
        <v>#N/A</v>
      </c>
      <c r="X268" s="42" t="e">
        <f>VLOOKUP($I268,'AnmeldeVSS-Attribute'!$A$2:$H$16,3,FALSE)</f>
        <v>#N/A</v>
      </c>
      <c r="Y268" s="42" t="e">
        <f>VLOOKUP($I268,'AnmeldeVSS-Attribute'!$A$2:$H$16,4,FALSE)</f>
        <v>#N/A</v>
      </c>
      <c r="Z268" s="42" t="e">
        <f>VLOOKUP($I268,'AnmeldeVSS-Attribute'!$A$2:$H$16,5,FALSE)</f>
        <v>#N/A</v>
      </c>
      <c r="AA268" s="42" t="e">
        <f>VLOOKUP($I268,'AnmeldeVSS-Attribute'!$A$2:$H$16,6,FALSE)</f>
        <v>#N/A</v>
      </c>
      <c r="AB268" s="42" t="e">
        <f>VLOOKUP($I268,'AnmeldeVSS-Attribute'!$A$2:$H$16,7,FALSE)</f>
        <v>#N/A</v>
      </c>
      <c r="AC268" s="42" t="e">
        <f>IF(I268="Geldbetrag",J268,(IF(T268="",VLOOKUP($I268,'AnmeldeVSS-Attribute'!$A$2:$H$16,8,FALSE),T268)))</f>
        <v>#N/A</v>
      </c>
      <c r="AD268" s="42">
        <f>IF(S268="",0,VLOOKUP(S268,'AnmeldeVSS-Attribute'!$A$20:$B$26,2,FALSE))</f>
        <v>0</v>
      </c>
      <c r="AE268" s="42" t="e">
        <f t="shared" si="38"/>
        <v>#N/A</v>
      </c>
      <c r="AF268" s="42" t="str">
        <f t="shared" si="39"/>
        <v/>
      </c>
      <c r="AG268" s="42" t="str">
        <f t="shared" si="40"/>
        <v/>
      </c>
      <c r="AH268" s="47" t="str">
        <f t="shared" si="41"/>
        <v/>
      </c>
      <c r="AI268" s="47" t="str">
        <f t="shared" si="37"/>
        <v/>
      </c>
      <c r="AJ268" s="42" t="str">
        <f>IF(O268="",(IF(P268="Ansicht","INSERT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B268 &amp;" ,NULL ,'',349,"&amp; VLOOKUP(Q268,'AnmeldeVSS-Attribute'!$A$43:$B$50,2,FALSE)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B268 &amp;" ,"&amp; O268 &amp;" ,"&amp; IF(Q268="ja","'1'",IF(Q268="nein","'0'","'"&amp;Q268&amp;"'")) &amp;","&amp;IF(P268="enthält",349,IF(P268="nicht leer",352,IF(P268="enthält nicht",350,IF(P268="leer",351,0)))) &amp;" ,NULL ,GetDate() ,'scrc' ,GetDate() ,'scrc')")</f>
        <v/>
      </c>
      <c r="AK268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69" spans="1:37" x14ac:dyDescent="0.25">
      <c r="A269" s="66"/>
      <c r="B269" s="66"/>
      <c r="C269" s="68"/>
      <c r="D269" s="68"/>
      <c r="E269" s="66"/>
      <c r="F269" s="68"/>
      <c r="G269" s="68"/>
      <c r="H269" s="68"/>
      <c r="I269" s="68"/>
      <c r="J269" s="68"/>
      <c r="K269" s="68"/>
      <c r="L269" s="68"/>
      <c r="M269" s="66"/>
      <c r="N269" s="66"/>
      <c r="O269" s="66"/>
      <c r="P269" s="66"/>
      <c r="Q269" s="68"/>
      <c r="R269" s="66"/>
      <c r="S269" s="66"/>
      <c r="T269" s="65"/>
      <c r="U269" s="65"/>
      <c r="W269" s="42" t="e">
        <f>VLOOKUP($I269,'AnmeldeVSS-Attribute'!$A$2:$H$16,2,FALSE)</f>
        <v>#N/A</v>
      </c>
      <c r="X269" s="42" t="e">
        <f>VLOOKUP($I269,'AnmeldeVSS-Attribute'!$A$2:$H$16,3,FALSE)</f>
        <v>#N/A</v>
      </c>
      <c r="Y269" s="42" t="e">
        <f>VLOOKUP($I269,'AnmeldeVSS-Attribute'!$A$2:$H$16,4,FALSE)</f>
        <v>#N/A</v>
      </c>
      <c r="Z269" s="42" t="e">
        <f>VLOOKUP($I269,'AnmeldeVSS-Attribute'!$A$2:$H$16,5,FALSE)</f>
        <v>#N/A</v>
      </c>
      <c r="AA269" s="42" t="e">
        <f>VLOOKUP($I269,'AnmeldeVSS-Attribute'!$A$2:$H$16,6,FALSE)</f>
        <v>#N/A</v>
      </c>
      <c r="AB269" s="42" t="e">
        <f>VLOOKUP($I269,'AnmeldeVSS-Attribute'!$A$2:$H$16,7,FALSE)</f>
        <v>#N/A</v>
      </c>
      <c r="AC269" s="42" t="e">
        <f>IF(I269="Geldbetrag",J269,(IF(T269="",VLOOKUP($I269,'AnmeldeVSS-Attribute'!$A$2:$H$16,8,FALSE),T269)))</f>
        <v>#N/A</v>
      </c>
      <c r="AD269" s="42">
        <f>IF(S269="",0,VLOOKUP(S269,'AnmeldeVSS-Attribute'!$A$20:$B$26,2,FALSE))</f>
        <v>0</v>
      </c>
      <c r="AE269" s="42" t="e">
        <f t="shared" si="38"/>
        <v>#N/A</v>
      </c>
      <c r="AF269" s="42" t="str">
        <f t="shared" si="39"/>
        <v/>
      </c>
      <c r="AG269" s="42" t="str">
        <f t="shared" si="40"/>
        <v/>
      </c>
      <c r="AH269" s="47" t="str">
        <f t="shared" si="41"/>
        <v/>
      </c>
      <c r="AI269" s="47" t="str">
        <f t="shared" si="37"/>
        <v/>
      </c>
      <c r="AJ269" s="42" t="str">
        <f>IF(O269="",(IF(P269="Ansicht","INSERT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B269 &amp;" ,NULL ,'',349,"&amp; VLOOKUP(Q269,'AnmeldeVSS-Attribute'!$A$43:$B$50,2,FALSE)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B269 &amp;" ,"&amp; O269 &amp;" ,"&amp; IF(Q269="ja","'1'",IF(Q269="nein","'0'","'"&amp;Q269&amp;"'")) &amp;","&amp;IF(P269="enthält",349,IF(P269="nicht leer",352,IF(P269="enthält nicht",350,IF(P269="leer",351,0)))) &amp;" ,NULL ,GetDate() ,'scrc' ,GetDate() ,'scrc')")</f>
        <v/>
      </c>
      <c r="AK269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0" spans="1:37" x14ac:dyDescent="0.25">
      <c r="A270" s="66"/>
      <c r="B270" s="66"/>
      <c r="C270" s="68"/>
      <c r="D270" s="68"/>
      <c r="E270" s="66"/>
      <c r="F270" s="68"/>
      <c r="G270" s="68"/>
      <c r="H270" s="68"/>
      <c r="I270" s="68"/>
      <c r="J270" s="68"/>
      <c r="K270" s="68"/>
      <c r="L270" s="68"/>
      <c r="M270" s="66"/>
      <c r="N270" s="66"/>
      <c r="O270" s="66"/>
      <c r="P270" s="66"/>
      <c r="Q270" s="68"/>
      <c r="R270" s="66"/>
      <c r="S270" s="66"/>
      <c r="T270" s="65"/>
      <c r="U270" s="65"/>
      <c r="W270" s="42" t="e">
        <f>VLOOKUP($I270,'AnmeldeVSS-Attribute'!$A$2:$H$16,2,FALSE)</f>
        <v>#N/A</v>
      </c>
      <c r="X270" s="42" t="e">
        <f>VLOOKUP($I270,'AnmeldeVSS-Attribute'!$A$2:$H$16,3,FALSE)</f>
        <v>#N/A</v>
      </c>
      <c r="Y270" s="42" t="e">
        <f>VLOOKUP($I270,'AnmeldeVSS-Attribute'!$A$2:$H$16,4,FALSE)</f>
        <v>#N/A</v>
      </c>
      <c r="Z270" s="42" t="e">
        <f>VLOOKUP($I270,'AnmeldeVSS-Attribute'!$A$2:$H$16,5,FALSE)</f>
        <v>#N/A</v>
      </c>
      <c r="AA270" s="42" t="e">
        <f>VLOOKUP($I270,'AnmeldeVSS-Attribute'!$A$2:$H$16,6,FALSE)</f>
        <v>#N/A</v>
      </c>
      <c r="AB270" s="42" t="e">
        <f>VLOOKUP($I270,'AnmeldeVSS-Attribute'!$A$2:$H$16,7,FALSE)</f>
        <v>#N/A</v>
      </c>
      <c r="AC270" s="42" t="e">
        <f>IF(I270="Geldbetrag",J270,(IF(T270="",VLOOKUP($I270,'AnmeldeVSS-Attribute'!$A$2:$H$16,8,FALSE),T270)))</f>
        <v>#N/A</v>
      </c>
      <c r="AD270" s="42">
        <f>IF(S270="",0,VLOOKUP(S270,'AnmeldeVSS-Attribute'!$A$20:$B$26,2,FALSE))</f>
        <v>0</v>
      </c>
      <c r="AE270" s="42" t="e">
        <f t="shared" si="38"/>
        <v>#N/A</v>
      </c>
      <c r="AF270" s="42" t="str">
        <f t="shared" si="39"/>
        <v/>
      </c>
      <c r="AG270" s="42" t="str">
        <f t="shared" si="40"/>
        <v/>
      </c>
      <c r="AH270" s="47" t="str">
        <f t="shared" si="41"/>
        <v/>
      </c>
      <c r="AI270" s="47" t="str">
        <f t="shared" si="37"/>
        <v/>
      </c>
      <c r="AJ270" s="42" t="str">
        <f>IF(O270="",(IF(P270="Ansicht","INSERT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B270 &amp;" ,NULL ,'',349,"&amp; VLOOKUP(Q270,'AnmeldeVSS-Attribute'!$A$43:$B$50,2,FALSE)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B270 &amp;" ,"&amp; O270 &amp;" ,"&amp; IF(Q270="ja","'1'",IF(Q270="nein","'0'","'"&amp;Q270&amp;"'")) &amp;","&amp;IF(P270="enthält",349,IF(P270="nicht leer",352,IF(P270="enthält nicht",350,IF(P270="leer",351,0)))) &amp;" ,NULL ,GetDate() ,'scrc' ,GetDate() ,'scrc')")</f>
        <v/>
      </c>
      <c r="AK270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1" spans="1:37" x14ac:dyDescent="0.25">
      <c r="A271" s="66"/>
      <c r="B271" s="66"/>
      <c r="C271" s="68"/>
      <c r="D271" s="68"/>
      <c r="E271" s="66"/>
      <c r="F271" s="68"/>
      <c r="G271" s="68"/>
      <c r="H271" s="68"/>
      <c r="I271" s="68"/>
      <c r="J271" s="68"/>
      <c r="K271" s="68"/>
      <c r="L271" s="68"/>
      <c r="M271" s="66"/>
      <c r="N271" s="66"/>
      <c r="O271" s="66"/>
      <c r="P271" s="66"/>
      <c r="Q271" s="68"/>
      <c r="R271" s="66"/>
      <c r="S271" s="66"/>
      <c r="T271" s="65"/>
      <c r="U271" s="65"/>
      <c r="W271" s="42" t="e">
        <f>VLOOKUP($I271,'AnmeldeVSS-Attribute'!$A$2:$H$16,2,FALSE)</f>
        <v>#N/A</v>
      </c>
      <c r="X271" s="42" t="e">
        <f>VLOOKUP($I271,'AnmeldeVSS-Attribute'!$A$2:$H$16,3,FALSE)</f>
        <v>#N/A</v>
      </c>
      <c r="Y271" s="42" t="e">
        <f>VLOOKUP($I271,'AnmeldeVSS-Attribute'!$A$2:$H$16,4,FALSE)</f>
        <v>#N/A</v>
      </c>
      <c r="Z271" s="42" t="e">
        <f>VLOOKUP($I271,'AnmeldeVSS-Attribute'!$A$2:$H$16,5,FALSE)</f>
        <v>#N/A</v>
      </c>
      <c r="AA271" s="42" t="e">
        <f>VLOOKUP($I271,'AnmeldeVSS-Attribute'!$A$2:$H$16,6,FALSE)</f>
        <v>#N/A</v>
      </c>
      <c r="AB271" s="42" t="e">
        <f>VLOOKUP($I271,'AnmeldeVSS-Attribute'!$A$2:$H$16,7,FALSE)</f>
        <v>#N/A</v>
      </c>
      <c r="AC271" s="42" t="e">
        <f>IF(I271="Geldbetrag",J271,(IF(T271="",VLOOKUP($I271,'AnmeldeVSS-Attribute'!$A$2:$H$16,8,FALSE),T271)))</f>
        <v>#N/A</v>
      </c>
      <c r="AD271" s="42">
        <f>IF(S271="",0,VLOOKUP(S271,'AnmeldeVSS-Attribute'!$A$20:$B$26,2,FALSE))</f>
        <v>0</v>
      </c>
      <c r="AE271" s="42" t="e">
        <f t="shared" si="38"/>
        <v>#N/A</v>
      </c>
      <c r="AF271" s="42" t="str">
        <f t="shared" si="39"/>
        <v/>
      </c>
      <c r="AG271" s="42" t="str">
        <f t="shared" si="40"/>
        <v/>
      </c>
      <c r="AH271" s="47" t="str">
        <f t="shared" si="41"/>
        <v/>
      </c>
      <c r="AI271" s="47" t="str">
        <f t="shared" si="37"/>
        <v/>
      </c>
      <c r="AJ271" s="42" t="str">
        <f>IF(O271="",(IF(P271="Ansicht","INSERT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B271 &amp;" ,NULL ,'',349,"&amp; VLOOKUP(Q271,'AnmeldeVSS-Attribute'!$A$43:$B$50,2,FALSE)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B271 &amp;" ,"&amp; O271 &amp;" ,"&amp; IF(Q271="ja","'1'",IF(Q271="nein","'0'","'"&amp;Q271&amp;"'")) &amp;","&amp;IF(P271="enthält",349,IF(P271="nicht leer",352,IF(P271="enthält nicht",350,IF(P271="leer",351,0)))) &amp;" ,NULL ,GetDate() ,'scrc' ,GetDate() ,'scrc')")</f>
        <v/>
      </c>
      <c r="AK271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2" spans="1:37" x14ac:dyDescent="0.25">
      <c r="A272" s="66"/>
      <c r="B272" s="66"/>
      <c r="C272" s="68"/>
      <c r="D272" s="68"/>
      <c r="E272" s="66"/>
      <c r="F272" s="68"/>
      <c r="G272" s="68"/>
      <c r="H272" s="68"/>
      <c r="I272" s="68"/>
      <c r="J272" s="68"/>
      <c r="K272" s="68"/>
      <c r="L272" s="68"/>
      <c r="M272" s="66"/>
      <c r="N272" s="66"/>
      <c r="O272" s="66"/>
      <c r="P272" s="66"/>
      <c r="Q272" s="68"/>
      <c r="R272" s="66"/>
      <c r="S272" s="66"/>
      <c r="T272" s="65"/>
      <c r="U272" s="65"/>
      <c r="W272" s="42" t="e">
        <f>VLOOKUP($I272,'AnmeldeVSS-Attribute'!$A$2:$H$16,2,FALSE)</f>
        <v>#N/A</v>
      </c>
      <c r="X272" s="42" t="e">
        <f>VLOOKUP($I272,'AnmeldeVSS-Attribute'!$A$2:$H$16,3,FALSE)</f>
        <v>#N/A</v>
      </c>
      <c r="Y272" s="42" t="e">
        <f>VLOOKUP($I272,'AnmeldeVSS-Attribute'!$A$2:$H$16,4,FALSE)</f>
        <v>#N/A</v>
      </c>
      <c r="Z272" s="42" t="e">
        <f>VLOOKUP($I272,'AnmeldeVSS-Attribute'!$A$2:$H$16,5,FALSE)</f>
        <v>#N/A</v>
      </c>
      <c r="AA272" s="42" t="e">
        <f>VLOOKUP($I272,'AnmeldeVSS-Attribute'!$A$2:$H$16,6,FALSE)</f>
        <v>#N/A</v>
      </c>
      <c r="AB272" s="42" t="e">
        <f>VLOOKUP($I272,'AnmeldeVSS-Attribute'!$A$2:$H$16,7,FALSE)</f>
        <v>#N/A</v>
      </c>
      <c r="AC272" s="42" t="e">
        <f>IF(I272="Geldbetrag",J272,(IF(T272="",VLOOKUP($I272,'AnmeldeVSS-Attribute'!$A$2:$H$16,8,FALSE),T272)))</f>
        <v>#N/A</v>
      </c>
      <c r="AD272" s="42">
        <f>IF(S272="",0,VLOOKUP(S272,'AnmeldeVSS-Attribute'!$A$20:$B$26,2,FALSE))</f>
        <v>0</v>
      </c>
      <c r="AE272" s="42" t="e">
        <f t="shared" si="38"/>
        <v>#N/A</v>
      </c>
      <c r="AF272" s="42" t="str">
        <f t="shared" si="39"/>
        <v/>
      </c>
      <c r="AG272" s="42" t="str">
        <f t="shared" si="40"/>
        <v/>
      </c>
      <c r="AH272" s="47" t="str">
        <f t="shared" si="41"/>
        <v/>
      </c>
      <c r="AI272" s="47" t="str">
        <f t="shared" si="37"/>
        <v/>
      </c>
      <c r="AJ272" s="42" t="str">
        <f>IF(O272="",(IF(P272="Ansicht","INSERT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B272 &amp;" ,NULL ,'',349,"&amp; VLOOKUP(Q272,'AnmeldeVSS-Attribute'!$A$43:$B$50,2,FALSE)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B272 &amp;" ,"&amp; O272 &amp;" ,"&amp; IF(Q272="ja","'1'",IF(Q272="nein","'0'","'"&amp;Q272&amp;"'")) &amp;","&amp;IF(P272="enthält",349,IF(P272="nicht leer",352,IF(P272="enthält nicht",350,IF(P272="leer",351,0)))) &amp;" ,NULL ,GetDate() ,'scrc' ,GetDate() ,'scrc')")</f>
        <v/>
      </c>
      <c r="AK272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3" spans="1:37" x14ac:dyDescent="0.25">
      <c r="A273" s="66"/>
      <c r="B273" s="66"/>
      <c r="C273" s="68"/>
      <c r="D273" s="68"/>
      <c r="E273" s="66"/>
      <c r="F273" s="68"/>
      <c r="G273" s="68"/>
      <c r="H273" s="68"/>
      <c r="I273" s="68"/>
      <c r="J273" s="68"/>
      <c r="K273" s="68"/>
      <c r="L273" s="68"/>
      <c r="M273" s="66"/>
      <c r="N273" s="66"/>
      <c r="O273" s="66"/>
      <c r="P273" s="66"/>
      <c r="Q273" s="68"/>
      <c r="R273" s="66"/>
      <c r="S273" s="66"/>
      <c r="T273" s="65"/>
      <c r="U273" s="65"/>
      <c r="W273" s="42" t="e">
        <f>VLOOKUP($I273,'AnmeldeVSS-Attribute'!$A$2:$H$16,2,FALSE)</f>
        <v>#N/A</v>
      </c>
      <c r="X273" s="42" t="e">
        <f>VLOOKUP($I273,'AnmeldeVSS-Attribute'!$A$2:$H$16,3,FALSE)</f>
        <v>#N/A</v>
      </c>
      <c r="Y273" s="42" t="e">
        <f>VLOOKUP($I273,'AnmeldeVSS-Attribute'!$A$2:$H$16,4,FALSE)</f>
        <v>#N/A</v>
      </c>
      <c r="Z273" s="42" t="e">
        <f>VLOOKUP($I273,'AnmeldeVSS-Attribute'!$A$2:$H$16,5,FALSE)</f>
        <v>#N/A</v>
      </c>
      <c r="AA273" s="42" t="e">
        <f>VLOOKUP($I273,'AnmeldeVSS-Attribute'!$A$2:$H$16,6,FALSE)</f>
        <v>#N/A</v>
      </c>
      <c r="AB273" s="42" t="e">
        <f>VLOOKUP($I273,'AnmeldeVSS-Attribute'!$A$2:$H$16,7,FALSE)</f>
        <v>#N/A</v>
      </c>
      <c r="AC273" s="42" t="e">
        <f>IF(I273="Geldbetrag",J273,(IF(T273="",VLOOKUP($I273,'AnmeldeVSS-Attribute'!$A$2:$H$16,8,FALSE),T273)))</f>
        <v>#N/A</v>
      </c>
      <c r="AD273" s="42">
        <f>IF(S273="",0,VLOOKUP(S273,'AnmeldeVSS-Attribute'!$A$20:$B$26,2,FALSE))</f>
        <v>0</v>
      </c>
      <c r="AE273" s="42" t="e">
        <f t="shared" si="38"/>
        <v>#N/A</v>
      </c>
      <c r="AF273" s="42" t="str">
        <f t="shared" si="39"/>
        <v/>
      </c>
      <c r="AG273" s="42" t="str">
        <f t="shared" si="40"/>
        <v/>
      </c>
      <c r="AH273" s="47" t="str">
        <f t="shared" si="41"/>
        <v/>
      </c>
      <c r="AI273" s="47" t="str">
        <f t="shared" si="37"/>
        <v/>
      </c>
      <c r="AJ273" s="42" t="str">
        <f>IF(O273="",(IF(P273="Ansicht","INSERT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B273 &amp;" ,NULL ,'',349,"&amp; VLOOKUP(Q273,'AnmeldeVSS-Attribute'!$A$43:$B$50,2,FALSE)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B273 &amp;" ,"&amp; O273 &amp;" ,"&amp; IF(Q273="ja","'1'",IF(Q273="nein","'0'","'"&amp;Q273&amp;"'")) &amp;","&amp;IF(P273="enthält",349,IF(P273="nicht leer",352,IF(P273="enthält nicht",350,IF(P273="leer",351,0)))) &amp;" ,NULL ,GetDate() ,'scrc' ,GetDate() ,'scrc')")</f>
        <v/>
      </c>
      <c r="AK273" s="48" t="str">
        <f t="shared" si="28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4" spans="1:37" x14ac:dyDescent="0.25">
      <c r="A274" s="66"/>
      <c r="B274" s="66"/>
      <c r="C274" s="68"/>
      <c r="D274" s="68"/>
      <c r="E274" s="66"/>
      <c r="F274" s="68"/>
      <c r="G274" s="68"/>
      <c r="H274" s="68"/>
      <c r="I274" s="68"/>
      <c r="J274" s="68"/>
      <c r="K274" s="68"/>
      <c r="L274" s="68"/>
      <c r="M274" s="66"/>
      <c r="N274" s="66"/>
      <c r="O274" s="66"/>
      <c r="P274" s="66"/>
      <c r="Q274" s="68"/>
      <c r="R274" s="66"/>
      <c r="S274" s="66"/>
      <c r="T274" s="65"/>
      <c r="U274" s="65"/>
      <c r="W274" s="42" t="e">
        <f>VLOOKUP($I274,'AnmeldeVSS-Attribute'!$A$2:$H$16,2,FALSE)</f>
        <v>#N/A</v>
      </c>
      <c r="X274" s="42" t="e">
        <f>VLOOKUP($I274,'AnmeldeVSS-Attribute'!$A$2:$H$16,3,FALSE)</f>
        <v>#N/A</v>
      </c>
      <c r="Y274" s="42" t="e">
        <f>VLOOKUP($I274,'AnmeldeVSS-Attribute'!$A$2:$H$16,4,FALSE)</f>
        <v>#N/A</v>
      </c>
      <c r="Z274" s="42" t="e">
        <f>VLOOKUP($I274,'AnmeldeVSS-Attribute'!$A$2:$H$16,5,FALSE)</f>
        <v>#N/A</v>
      </c>
      <c r="AA274" s="42" t="e">
        <f>VLOOKUP($I274,'AnmeldeVSS-Attribute'!$A$2:$H$16,6,FALSE)</f>
        <v>#N/A</v>
      </c>
      <c r="AB274" s="42" t="e">
        <f>VLOOKUP($I274,'AnmeldeVSS-Attribute'!$A$2:$H$16,7,FALSE)</f>
        <v>#N/A</v>
      </c>
      <c r="AC274" s="42" t="e">
        <f>IF(I274="Geldbetrag",J274,(IF(T274="",VLOOKUP($I274,'AnmeldeVSS-Attribute'!$A$2:$H$16,8,FALSE),T274)))</f>
        <v>#N/A</v>
      </c>
      <c r="AD274" s="42">
        <f>IF(S274="",0,VLOOKUP(S274,'AnmeldeVSS-Attribute'!$A$20:$B$26,2,FALSE))</f>
        <v>0</v>
      </c>
      <c r="AE274" s="42" t="e">
        <f t="shared" si="38"/>
        <v>#N/A</v>
      </c>
      <c r="AF274" s="42" t="str">
        <f t="shared" si="39"/>
        <v/>
      </c>
      <c r="AG274" s="42" t="str">
        <f t="shared" si="40"/>
        <v/>
      </c>
      <c r="AH274" s="47" t="str">
        <f t="shared" si="41"/>
        <v/>
      </c>
      <c r="AI274" s="47" t="str">
        <f t="shared" si="37"/>
        <v/>
      </c>
      <c r="AJ274" s="42" t="str">
        <f>IF(O274="",(IF(P274="Ansicht","INSERT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B274 &amp;" ,NULL ,'',349,"&amp; VLOOKUP(Q274,'AnmeldeVSS-Attribute'!$A$43:$B$50,2,FALSE)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B274 &amp;" ,"&amp; O274 &amp;" ,"&amp; IF(Q274="ja","'1'",IF(Q274="nein","'0'","'"&amp;Q274&amp;"'")) &amp;","&amp;IF(P274="enthält",349,IF(P274="nicht leer",352,IF(P274="enthält nicht",350,IF(P274="leer",351,0)))) &amp;" ,NULL ,GetDate() ,'scrc' ,GetDate() ,'scrc')")</f>
        <v/>
      </c>
      <c r="AK274" s="48" t="str">
        <f t="shared" ref="AK274:AK279" si="42">CONCATENATE("update tblAnmeldeVSS set AnmeldeVSSOTUseLegacyRowSource = 1, AnmeldeVssOTUseLegacyValueCalculation = 1, AnmeldeVSSRowSource='","Select ''",SUBSTITUTE(J274,",","'' where @kontextidlanguage = 1 union select ''"),"'' where @kontextidlanguage = 1 ","union select ''",SUBSTITUTE(K274,",","'' where @kontextidlanguage = 133 union select ''"),"'' where @kontextidlanguage = 133'"," where IDAnmeldeVSS ="&amp;B274&amp; " and IDAnlass="&amp;IDAnlass)</f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5" spans="1:37" x14ac:dyDescent="0.25">
      <c r="A275" s="66"/>
      <c r="B275" s="66"/>
      <c r="C275" s="68"/>
      <c r="D275" s="68"/>
      <c r="E275" s="66"/>
      <c r="F275" s="68"/>
      <c r="G275" s="68"/>
      <c r="H275" s="68"/>
      <c r="I275" s="68"/>
      <c r="J275" s="68"/>
      <c r="K275" s="68"/>
      <c r="L275" s="68"/>
      <c r="M275" s="66"/>
      <c r="N275" s="66"/>
      <c r="O275" s="66"/>
      <c r="P275" s="66"/>
      <c r="Q275" s="68"/>
      <c r="R275" s="66"/>
      <c r="S275" s="66"/>
      <c r="T275" s="65"/>
      <c r="U275" s="65"/>
      <c r="W275" s="42" t="e">
        <f>VLOOKUP($I275,'AnmeldeVSS-Attribute'!$A$2:$H$16,2,FALSE)</f>
        <v>#N/A</v>
      </c>
      <c r="X275" s="42" t="e">
        <f>VLOOKUP($I275,'AnmeldeVSS-Attribute'!$A$2:$H$16,3,FALSE)</f>
        <v>#N/A</v>
      </c>
      <c r="Y275" s="42" t="e">
        <f>VLOOKUP($I275,'AnmeldeVSS-Attribute'!$A$2:$H$16,4,FALSE)</f>
        <v>#N/A</v>
      </c>
      <c r="Z275" s="42" t="e">
        <f>VLOOKUP($I275,'AnmeldeVSS-Attribute'!$A$2:$H$16,5,FALSE)</f>
        <v>#N/A</v>
      </c>
      <c r="AA275" s="42" t="e">
        <f>VLOOKUP($I275,'AnmeldeVSS-Attribute'!$A$2:$H$16,6,FALSE)</f>
        <v>#N/A</v>
      </c>
      <c r="AB275" s="42" t="e">
        <f>VLOOKUP($I275,'AnmeldeVSS-Attribute'!$A$2:$H$16,7,FALSE)</f>
        <v>#N/A</v>
      </c>
      <c r="AC275" s="42" t="e">
        <f>IF(I275="Geldbetrag",J275,(IF(T275="",VLOOKUP($I275,'AnmeldeVSS-Attribute'!$A$2:$H$16,8,FALSE),T275)))</f>
        <v>#N/A</v>
      </c>
      <c r="AD275" s="42">
        <f>IF(S275="",0,VLOOKUP(S275,'AnmeldeVSS-Attribute'!$A$20:$B$26,2,FALSE))</f>
        <v>0</v>
      </c>
      <c r="AE275" s="42" t="e">
        <f t="shared" si="38"/>
        <v>#N/A</v>
      </c>
      <c r="AF275" s="42" t="str">
        <f t="shared" si="39"/>
        <v/>
      </c>
      <c r="AG275" s="42" t="str">
        <f t="shared" si="40"/>
        <v/>
      </c>
      <c r="AH275" s="47" t="str">
        <f t="shared" si="41"/>
        <v/>
      </c>
      <c r="AI275" s="47" t="str">
        <f t="shared" si="37"/>
        <v/>
      </c>
      <c r="AJ275" s="42" t="str">
        <f>IF(O275="",(IF(P275="Ansicht","INSERT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B275 &amp;" ,NULL ,'',349,"&amp; VLOOKUP(Q275,'AnmeldeVSS-Attribute'!$A$43:$B$50,2,FALSE)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B275 &amp;" ,"&amp; O275 &amp;" ,"&amp; IF(Q275="ja","'1'",IF(Q275="nein","'0'","'"&amp;Q275&amp;"'")) &amp;","&amp;IF(P275="enthält",349,IF(P275="nicht leer",352,IF(P275="enthält nicht",350,IF(P275="leer",351,0)))) &amp;" ,NULL ,GetDate() ,'scrc' ,GetDate() ,'scrc')")</f>
        <v/>
      </c>
      <c r="AK275" s="48" t="str">
        <f t="shared" si="4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6" spans="1:37" x14ac:dyDescent="0.25">
      <c r="A276" s="66"/>
      <c r="B276" s="66"/>
      <c r="C276" s="68"/>
      <c r="D276" s="68"/>
      <c r="E276" s="66"/>
      <c r="F276" s="68"/>
      <c r="G276" s="68"/>
      <c r="H276" s="68"/>
      <c r="I276" s="68"/>
      <c r="J276" s="68"/>
      <c r="K276" s="68"/>
      <c r="L276" s="68"/>
      <c r="M276" s="66"/>
      <c r="N276" s="66"/>
      <c r="O276" s="66"/>
      <c r="P276" s="66"/>
      <c r="Q276" s="68"/>
      <c r="R276" s="66"/>
      <c r="S276" s="66"/>
      <c r="T276" s="65"/>
      <c r="U276" s="65"/>
      <c r="W276" s="42" t="e">
        <f>VLOOKUP($I276,'AnmeldeVSS-Attribute'!$A$2:$H$16,2,FALSE)</f>
        <v>#N/A</v>
      </c>
      <c r="X276" s="42" t="e">
        <f>VLOOKUP($I276,'AnmeldeVSS-Attribute'!$A$2:$H$16,3,FALSE)</f>
        <v>#N/A</v>
      </c>
      <c r="Y276" s="42" t="e">
        <f>VLOOKUP($I276,'AnmeldeVSS-Attribute'!$A$2:$H$16,4,FALSE)</f>
        <v>#N/A</v>
      </c>
      <c r="Z276" s="42" t="e">
        <f>VLOOKUP($I276,'AnmeldeVSS-Attribute'!$A$2:$H$16,5,FALSE)</f>
        <v>#N/A</v>
      </c>
      <c r="AA276" s="42" t="e">
        <f>VLOOKUP($I276,'AnmeldeVSS-Attribute'!$A$2:$H$16,6,FALSE)</f>
        <v>#N/A</v>
      </c>
      <c r="AB276" s="42" t="e">
        <f>VLOOKUP($I276,'AnmeldeVSS-Attribute'!$A$2:$H$16,7,FALSE)</f>
        <v>#N/A</v>
      </c>
      <c r="AC276" s="42" t="e">
        <f>IF(I276="Geldbetrag",J276,(IF(T276="",VLOOKUP($I276,'AnmeldeVSS-Attribute'!$A$2:$H$16,8,FALSE),T276)))</f>
        <v>#N/A</v>
      </c>
      <c r="AD276" s="42">
        <f>IF(S276="",0,VLOOKUP(S276,'AnmeldeVSS-Attribute'!$A$20:$B$26,2,FALSE))</f>
        <v>0</v>
      </c>
      <c r="AE276" s="42" t="e">
        <f t="shared" si="38"/>
        <v>#N/A</v>
      </c>
      <c r="AF276" s="42" t="str">
        <f t="shared" si="39"/>
        <v/>
      </c>
      <c r="AG276" s="42" t="str">
        <f t="shared" si="40"/>
        <v/>
      </c>
      <c r="AH276" s="47" t="str">
        <f t="shared" si="41"/>
        <v/>
      </c>
      <c r="AI276" s="47" t="str">
        <f t="shared" si="37"/>
        <v/>
      </c>
      <c r="AJ276" s="42" t="str">
        <f>IF(O276="",(IF(P276="Ansicht","INSERT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B276 &amp;" ,NULL ,'',349,"&amp; VLOOKUP(Q276,'AnmeldeVSS-Attribute'!$A$43:$B$50,2,FALSE)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B276 &amp;" ,"&amp; O276 &amp;" ,"&amp; IF(Q276="ja","'1'",IF(Q276="nein","'0'","'"&amp;Q276&amp;"'")) &amp;","&amp;IF(P276="enthält",349,IF(P276="nicht leer",352,IF(P276="enthält nicht",350,IF(P276="leer",351,0)))) &amp;" ,NULL ,GetDate() ,'scrc' ,GetDate() ,'scrc')")</f>
        <v/>
      </c>
      <c r="AK276" s="48" t="str">
        <f t="shared" si="4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7" spans="1:37" x14ac:dyDescent="0.25">
      <c r="A277" s="66"/>
      <c r="B277" s="66"/>
      <c r="C277" s="68"/>
      <c r="D277" s="68"/>
      <c r="E277" s="66"/>
      <c r="F277" s="68"/>
      <c r="G277" s="68"/>
      <c r="H277" s="68"/>
      <c r="I277" s="68"/>
      <c r="J277" s="68"/>
      <c r="K277" s="68"/>
      <c r="L277" s="68"/>
      <c r="M277" s="66"/>
      <c r="N277" s="66"/>
      <c r="O277" s="66"/>
      <c r="P277" s="66"/>
      <c r="Q277" s="68"/>
      <c r="R277" s="66"/>
      <c r="S277" s="66"/>
      <c r="T277" s="65"/>
      <c r="U277" s="65"/>
      <c r="W277" s="42" t="e">
        <f>VLOOKUP($I277,'AnmeldeVSS-Attribute'!$A$2:$H$16,2,FALSE)</f>
        <v>#N/A</v>
      </c>
      <c r="X277" s="42" t="e">
        <f>VLOOKUP($I277,'AnmeldeVSS-Attribute'!$A$2:$H$16,3,FALSE)</f>
        <v>#N/A</v>
      </c>
      <c r="Y277" s="42" t="e">
        <f>VLOOKUP($I277,'AnmeldeVSS-Attribute'!$A$2:$H$16,4,FALSE)</f>
        <v>#N/A</v>
      </c>
      <c r="Z277" s="42" t="e">
        <f>VLOOKUP($I277,'AnmeldeVSS-Attribute'!$A$2:$H$16,5,FALSE)</f>
        <v>#N/A</v>
      </c>
      <c r="AA277" s="42" t="e">
        <f>VLOOKUP($I277,'AnmeldeVSS-Attribute'!$A$2:$H$16,6,FALSE)</f>
        <v>#N/A</v>
      </c>
      <c r="AB277" s="42" t="e">
        <f>VLOOKUP($I277,'AnmeldeVSS-Attribute'!$A$2:$H$16,7,FALSE)</f>
        <v>#N/A</v>
      </c>
      <c r="AC277" s="42" t="e">
        <f>IF(I277="Geldbetrag",J277,(IF(T277="",VLOOKUP($I277,'AnmeldeVSS-Attribute'!$A$2:$H$16,8,FALSE),T277)))</f>
        <v>#N/A</v>
      </c>
      <c r="AD277" s="42">
        <f>IF(S277="",0,VLOOKUP(S277,'AnmeldeVSS-Attribute'!$A$20:$B$26,2,FALSE))</f>
        <v>0</v>
      </c>
      <c r="AE277" s="42" t="e">
        <f t="shared" si="38"/>
        <v>#N/A</v>
      </c>
      <c r="AF277" s="42" t="str">
        <f t="shared" si="39"/>
        <v/>
      </c>
      <c r="AG277" s="42" t="str">
        <f t="shared" si="40"/>
        <v/>
      </c>
      <c r="AH277" s="47" t="str">
        <f t="shared" si="41"/>
        <v/>
      </c>
      <c r="AI277" s="47" t="str">
        <f t="shared" si="37"/>
        <v/>
      </c>
      <c r="AJ277" s="42" t="str">
        <f>IF(O277="",(IF(P277="Ansicht","INSERT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B277 &amp;" ,NULL ,'',349,"&amp; VLOOKUP(Q277,'AnmeldeVSS-Attribute'!$A$43:$B$50,2,FALSE)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B277 &amp;" ,"&amp; O277 &amp;" ,"&amp; IF(Q277="ja","'1'",IF(Q277="nein","'0'","'"&amp;Q277&amp;"'")) &amp;","&amp;IF(P277="enthält",349,IF(P277="nicht leer",352,IF(P277="enthält nicht",350,IF(P277="leer",351,0)))) &amp;" ,NULL ,GetDate() ,'scrc' ,GetDate() ,'scrc')")</f>
        <v/>
      </c>
      <c r="AK277" s="48" t="str">
        <f t="shared" si="4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8" spans="1:37" x14ac:dyDescent="0.25">
      <c r="A278" s="66"/>
      <c r="B278" s="66"/>
      <c r="C278" s="68"/>
      <c r="D278" s="68"/>
      <c r="E278" s="66"/>
      <c r="F278" s="68"/>
      <c r="G278" s="68"/>
      <c r="H278" s="68"/>
      <c r="I278" s="68"/>
      <c r="J278" s="68"/>
      <c r="K278" s="68"/>
      <c r="L278" s="68"/>
      <c r="M278" s="66"/>
      <c r="N278" s="66"/>
      <c r="O278" s="66"/>
      <c r="P278" s="66"/>
      <c r="Q278" s="68"/>
      <c r="R278" s="66"/>
      <c r="S278" s="66"/>
      <c r="T278" s="65"/>
      <c r="U278" s="65"/>
      <c r="W278" s="42" t="e">
        <f>VLOOKUP($I278,'AnmeldeVSS-Attribute'!$A$2:$H$16,2,FALSE)</f>
        <v>#N/A</v>
      </c>
      <c r="X278" s="42" t="e">
        <f>VLOOKUP($I278,'AnmeldeVSS-Attribute'!$A$2:$H$16,3,FALSE)</f>
        <v>#N/A</v>
      </c>
      <c r="Y278" s="42" t="e">
        <f>VLOOKUP($I278,'AnmeldeVSS-Attribute'!$A$2:$H$16,4,FALSE)</f>
        <v>#N/A</v>
      </c>
      <c r="Z278" s="42" t="e">
        <f>VLOOKUP($I278,'AnmeldeVSS-Attribute'!$A$2:$H$16,5,FALSE)</f>
        <v>#N/A</v>
      </c>
      <c r="AA278" s="42" t="e">
        <f>VLOOKUP($I278,'AnmeldeVSS-Attribute'!$A$2:$H$16,6,FALSE)</f>
        <v>#N/A</v>
      </c>
      <c r="AB278" s="42" t="e">
        <f>VLOOKUP($I278,'AnmeldeVSS-Attribute'!$A$2:$H$16,7,FALSE)</f>
        <v>#N/A</v>
      </c>
      <c r="AC278" s="42" t="e">
        <f>IF(I278="Geldbetrag",J278,(IF(T278="",VLOOKUP($I278,'AnmeldeVSS-Attribute'!$A$2:$H$16,8,FALSE),T278)))</f>
        <v>#N/A</v>
      </c>
      <c r="AD278" s="42">
        <f>IF(S278="",0,VLOOKUP(S278,'AnmeldeVSS-Attribute'!$A$20:$B$26,2,FALSE))</f>
        <v>0</v>
      </c>
      <c r="AE278" s="42" t="e">
        <f t="shared" si="38"/>
        <v>#N/A</v>
      </c>
      <c r="AF278" s="42" t="str">
        <f t="shared" si="39"/>
        <v/>
      </c>
      <c r="AG278" s="42" t="str">
        <f t="shared" si="40"/>
        <v/>
      </c>
      <c r="AH278" s="47" t="str">
        <f t="shared" si="41"/>
        <v/>
      </c>
      <c r="AI278" s="47" t="str">
        <f t="shared" si="37"/>
        <v/>
      </c>
      <c r="AJ278" s="42" t="str">
        <f>IF(O278="",(IF(P278="Ansicht","INSERT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B278 &amp;" ,NULL ,'',349,"&amp; VLOOKUP(Q278,'AnmeldeVSS-Attribute'!$A$43:$B$50,2,FALSE)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B278 &amp;" ,"&amp; O278 &amp;" ,"&amp; IF(Q278="ja","'1'",IF(Q278="nein","'0'","'"&amp;Q278&amp;"'")) &amp;","&amp;IF(P278="enthält",349,IF(P278="nicht leer",352,IF(P278="enthält nicht",350,IF(P278="leer",351,0)))) &amp;" ,NULL ,GetDate() ,'scrc' ,GetDate() ,'scrc')")</f>
        <v/>
      </c>
      <c r="AK278" s="48" t="str">
        <f t="shared" si="4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79" spans="1:37" x14ac:dyDescent="0.25">
      <c r="A279" s="66"/>
      <c r="B279" s="66"/>
      <c r="C279" s="68"/>
      <c r="D279" s="68"/>
      <c r="E279" s="66"/>
      <c r="F279" s="68"/>
      <c r="G279" s="68"/>
      <c r="H279" s="68"/>
      <c r="I279" s="68"/>
      <c r="J279" s="68"/>
      <c r="K279" s="68"/>
      <c r="L279" s="68"/>
      <c r="M279" s="66"/>
      <c r="N279" s="66"/>
      <c r="O279" s="66"/>
      <c r="P279" s="66"/>
      <c r="Q279" s="68"/>
      <c r="R279" s="66"/>
      <c r="S279" s="66"/>
      <c r="T279" s="65"/>
      <c r="U279" s="65"/>
      <c r="W279" s="42" t="e">
        <f>VLOOKUP($I279,'AnmeldeVSS-Attribute'!$A$2:$H$16,2,FALSE)</f>
        <v>#N/A</v>
      </c>
      <c r="X279" s="42" t="e">
        <f>VLOOKUP($I279,'AnmeldeVSS-Attribute'!$A$2:$H$16,3,FALSE)</f>
        <v>#N/A</v>
      </c>
      <c r="Y279" s="42" t="e">
        <f>VLOOKUP($I279,'AnmeldeVSS-Attribute'!$A$2:$H$16,4,FALSE)</f>
        <v>#N/A</v>
      </c>
      <c r="Z279" s="42" t="e">
        <f>VLOOKUP($I279,'AnmeldeVSS-Attribute'!$A$2:$H$16,5,FALSE)</f>
        <v>#N/A</v>
      </c>
      <c r="AA279" s="42" t="e">
        <f>VLOOKUP($I279,'AnmeldeVSS-Attribute'!$A$2:$H$16,6,FALSE)</f>
        <v>#N/A</v>
      </c>
      <c r="AB279" s="42" t="e">
        <f>VLOOKUP($I279,'AnmeldeVSS-Attribute'!$A$2:$H$16,7,FALSE)</f>
        <v>#N/A</v>
      </c>
      <c r="AC279" s="42" t="e">
        <f>IF(I279="Geldbetrag",J279,(IF(T279="",VLOOKUP($I279,'AnmeldeVSS-Attribute'!$A$2:$H$16,8,FALSE),T279)))</f>
        <v>#N/A</v>
      </c>
      <c r="AD279" s="42">
        <f>IF(S279="",0,VLOOKUP(S279,'AnmeldeVSS-Attribute'!$A$20:$B$26,2,FALSE))</f>
        <v>0</v>
      </c>
      <c r="AE279" s="42" t="e">
        <f t="shared" si="38"/>
        <v>#N/A</v>
      </c>
      <c r="AF279" s="42" t="str">
        <f t="shared" si="39"/>
        <v/>
      </c>
      <c r="AG279" s="42" t="str">
        <f t="shared" si="40"/>
        <v/>
      </c>
      <c r="AH279" s="47" t="str">
        <f t="shared" si="41"/>
        <v/>
      </c>
      <c r="AI279" s="47" t="str">
        <f t="shared" si="37"/>
        <v/>
      </c>
      <c r="AJ279" s="42" t="str">
        <f>IF(O279="",(IF(P279="Ansicht","INSERT INTO [dbo].[tblAnmeldeVSSAbhaengigVon] ([AVIdAnlass] ,[AVIdAnmeldeVSS] ,[AVIdAnmeldeVSSAbhaengig] ,[AVWerte] ,[AVOperator] ,[AVIDEntityExplorerConfiguration] ,[Erfassung] ,[ErfassungVon] ,[Aenderung] ,[AenderungVon])"
&amp; "VALUES ("&amp; IDAnlass &amp;","&amp; B279 &amp;" ,NULL ,'',349,"&amp; VLOOKUP(Q279,'AnmeldeVSS-Attribute'!$A$43:$B$50,2,FALSE) &amp;",GetDate() ,'scrc' ,GetDate() ,'scrc')","")),"INSERT INTO [dbo].[tblAnmeldeVSSAbhaengigVon] ([AVIdAnlass] ,[AVIdAnmeldeVSS] ,[AVIdAnmeldeVSSAbhaengig] ,[AVWerte] ,[AVOperator] ,[AVIDEntityExplorerConfiguration] ,[Erfassung] ,[ErfassungVon] ,[Aenderung] ,[AenderungVon])"
&amp; "VALUES ("&amp; IDAnlass &amp;","&amp; B279 &amp;" ,"&amp; O279 &amp;" ,"&amp; IF(Q279="ja","'1'",IF(Q279="nein","'0'","'"&amp;Q279&amp;"'")) &amp;","&amp;IF(P279="enthält",349,IF(P279="nicht leer",352,IF(P279="enthält nicht",350,IF(P279="leer",351,0)))) &amp;" ,NULL ,GetDate() ,'scrc' ,GetDate() ,'scrc')")</f>
        <v/>
      </c>
      <c r="AK279" s="48" t="str">
        <f t="shared" si="42"/>
        <v>update tblAnmeldeVSS set AnmeldeVSSOTUseLegacyRowSource = 1, AnmeldeVssOTUseLegacyValueCalculation = 1, AnmeldeVSSRowSource='Select '''' where @kontextidlanguage = 1 union select '''' where @kontextidlanguage = 133' where IDAnmeldeVSS = and IDAnlass=</v>
      </c>
    </row>
    <row r="280" spans="1:37" x14ac:dyDescent="0.25">
      <c r="A280" s="65"/>
      <c r="B280" s="65"/>
      <c r="C280" s="61"/>
      <c r="D280" s="61"/>
      <c r="E280" s="65"/>
      <c r="F280" s="61"/>
      <c r="G280" s="61"/>
      <c r="H280" s="61"/>
      <c r="I280" s="61"/>
      <c r="J280" s="61"/>
      <c r="K280" s="61"/>
      <c r="L280" s="61"/>
      <c r="M280" s="65"/>
      <c r="N280" s="65"/>
      <c r="O280" s="65"/>
      <c r="P280" s="65"/>
      <c r="Q280" s="61"/>
      <c r="R280" s="65"/>
      <c r="S280" s="65"/>
      <c r="T280" s="65"/>
      <c r="U280" s="65"/>
    </row>
    <row r="281" spans="1:37" x14ac:dyDescent="0.25">
      <c r="A281" s="65"/>
      <c r="B281" s="65"/>
      <c r="C281" s="61"/>
      <c r="D281" s="61"/>
      <c r="E281" s="65"/>
      <c r="F281" s="61"/>
      <c r="G281" s="61"/>
      <c r="H281" s="61"/>
      <c r="I281" s="61"/>
      <c r="J281" s="61"/>
      <c r="K281" s="61"/>
      <c r="L281" s="61"/>
      <c r="M281" s="65"/>
      <c r="N281" s="65"/>
      <c r="O281" s="65"/>
      <c r="P281" s="65"/>
      <c r="Q281" s="61"/>
      <c r="R281" s="65"/>
      <c r="S281" s="65"/>
      <c r="T281" s="65"/>
      <c r="U281" s="65"/>
    </row>
    <row r="282" spans="1:37" x14ac:dyDescent="0.25">
      <c r="A282" s="65"/>
      <c r="B282" s="65"/>
      <c r="C282" s="61"/>
      <c r="D282" s="61"/>
      <c r="E282" s="65"/>
      <c r="F282" s="61"/>
      <c r="G282" s="61"/>
      <c r="H282" s="61"/>
      <c r="I282" s="61"/>
      <c r="J282" s="61"/>
      <c r="K282" s="61"/>
      <c r="L282" s="61"/>
      <c r="M282" s="65"/>
      <c r="N282" s="65"/>
      <c r="O282" s="65"/>
      <c r="P282" s="65"/>
      <c r="Q282" s="61"/>
      <c r="R282" s="65"/>
      <c r="S282" s="65"/>
      <c r="T282" s="65"/>
      <c r="U282" s="65"/>
    </row>
    <row r="283" spans="1:37" x14ac:dyDescent="0.25">
      <c r="A283" s="65"/>
      <c r="B283" s="65"/>
      <c r="C283" s="61"/>
      <c r="D283" s="61"/>
      <c r="E283" s="65"/>
      <c r="F283" s="61"/>
      <c r="G283" s="61"/>
      <c r="H283" s="61"/>
      <c r="I283" s="61"/>
      <c r="J283" s="61"/>
      <c r="K283" s="61"/>
      <c r="L283" s="61"/>
      <c r="M283" s="65"/>
      <c r="N283" s="65"/>
      <c r="O283" s="65"/>
      <c r="P283" s="65"/>
      <c r="Q283" s="61"/>
      <c r="R283" s="65"/>
      <c r="S283" s="65"/>
      <c r="T283" s="65"/>
      <c r="U283" s="65"/>
    </row>
    <row r="284" spans="1:37" x14ac:dyDescent="0.25">
      <c r="A284" s="65"/>
      <c r="B284" s="65"/>
      <c r="C284" s="61"/>
      <c r="D284" s="61"/>
      <c r="E284" s="65"/>
      <c r="F284" s="61"/>
      <c r="G284" s="61"/>
      <c r="H284" s="61"/>
      <c r="I284" s="61"/>
      <c r="J284" s="61"/>
      <c r="K284" s="61"/>
      <c r="L284" s="61"/>
      <c r="M284" s="65"/>
      <c r="N284" s="65"/>
      <c r="O284" s="65"/>
      <c r="P284" s="65"/>
      <c r="Q284" s="61"/>
      <c r="R284" s="65"/>
      <c r="S284" s="65"/>
      <c r="T284" s="65"/>
      <c r="U284" s="65"/>
    </row>
    <row r="285" spans="1:37" x14ac:dyDescent="0.25">
      <c r="A285" s="65"/>
      <c r="B285" s="65"/>
      <c r="C285" s="61"/>
      <c r="D285" s="61"/>
      <c r="E285" s="65"/>
      <c r="F285" s="61"/>
      <c r="G285" s="61"/>
      <c r="H285" s="61"/>
      <c r="I285" s="61"/>
      <c r="J285" s="61"/>
      <c r="K285" s="61"/>
      <c r="L285" s="61"/>
      <c r="M285" s="65"/>
      <c r="N285" s="65"/>
      <c r="O285" s="65"/>
      <c r="P285" s="65"/>
      <c r="Q285" s="61"/>
      <c r="R285" s="65"/>
      <c r="S285" s="65"/>
      <c r="T285" s="65"/>
      <c r="U285" s="65"/>
    </row>
    <row r="286" spans="1:37" x14ac:dyDescent="0.25">
      <c r="A286" s="65"/>
      <c r="B286" s="65"/>
      <c r="C286" s="61"/>
      <c r="D286" s="61"/>
      <c r="E286" s="65"/>
      <c r="F286" s="61"/>
      <c r="G286" s="61"/>
      <c r="H286" s="61"/>
      <c r="I286" s="61"/>
      <c r="J286" s="61"/>
      <c r="K286" s="61"/>
      <c r="L286" s="61"/>
      <c r="M286" s="65"/>
      <c r="N286" s="65"/>
      <c r="O286" s="65"/>
      <c r="P286" s="65"/>
      <c r="Q286" s="61"/>
      <c r="R286" s="65"/>
      <c r="S286" s="65"/>
      <c r="T286" s="65"/>
      <c r="U286" s="65"/>
    </row>
    <row r="287" spans="1:37" x14ac:dyDescent="0.25">
      <c r="A287" s="65"/>
      <c r="B287" s="65"/>
      <c r="C287" s="61"/>
      <c r="D287" s="61"/>
      <c r="E287" s="65"/>
      <c r="F287" s="61"/>
      <c r="G287" s="61"/>
      <c r="H287" s="61"/>
      <c r="I287" s="61"/>
      <c r="J287" s="61"/>
      <c r="K287" s="61"/>
      <c r="L287" s="61"/>
      <c r="M287" s="65"/>
      <c r="N287" s="65"/>
      <c r="O287" s="65"/>
      <c r="P287" s="65"/>
      <c r="Q287" s="61"/>
      <c r="R287" s="65"/>
      <c r="S287" s="65"/>
      <c r="T287" s="65"/>
      <c r="U287" s="65"/>
    </row>
    <row r="288" spans="1:37" x14ac:dyDescent="0.25">
      <c r="A288" s="65"/>
      <c r="B288" s="65"/>
      <c r="C288" s="61"/>
      <c r="D288" s="61"/>
      <c r="E288" s="65"/>
      <c r="F288" s="61"/>
      <c r="G288" s="61"/>
      <c r="H288" s="61"/>
      <c r="I288" s="61"/>
      <c r="J288" s="61"/>
      <c r="K288" s="61"/>
      <c r="L288" s="61"/>
      <c r="M288" s="65"/>
      <c r="N288" s="65"/>
      <c r="O288" s="65"/>
      <c r="P288" s="65"/>
      <c r="Q288" s="61"/>
      <c r="R288" s="65"/>
      <c r="S288" s="65"/>
      <c r="T288" s="65"/>
      <c r="U288" s="65"/>
    </row>
    <row r="289" spans="1:21" x14ac:dyDescent="0.25">
      <c r="A289" s="65"/>
      <c r="B289" s="65"/>
      <c r="C289" s="61"/>
      <c r="D289" s="61"/>
      <c r="E289" s="65"/>
      <c r="F289" s="61"/>
      <c r="G289" s="61"/>
      <c r="H289" s="61"/>
      <c r="I289" s="61"/>
      <c r="J289" s="61"/>
      <c r="K289" s="61"/>
      <c r="L289" s="61"/>
      <c r="M289" s="65"/>
      <c r="N289" s="65"/>
      <c r="O289" s="65"/>
      <c r="P289" s="65"/>
      <c r="Q289" s="61"/>
      <c r="R289" s="65"/>
      <c r="S289" s="65"/>
      <c r="T289" s="65"/>
      <c r="U289" s="65"/>
    </row>
    <row r="290" spans="1:21" x14ac:dyDescent="0.25">
      <c r="A290" s="65"/>
      <c r="B290" s="65"/>
      <c r="C290" s="61"/>
      <c r="D290" s="61"/>
      <c r="E290" s="65"/>
      <c r="F290" s="61"/>
      <c r="G290" s="61"/>
      <c r="H290" s="61"/>
      <c r="I290" s="61"/>
      <c r="J290" s="61"/>
      <c r="K290" s="61"/>
      <c r="L290" s="61"/>
      <c r="M290" s="65"/>
      <c r="N290" s="65"/>
      <c r="O290" s="65"/>
      <c r="P290" s="65"/>
      <c r="Q290" s="61"/>
      <c r="R290" s="65"/>
      <c r="S290" s="65"/>
      <c r="T290" s="65"/>
      <c r="U290" s="65"/>
    </row>
    <row r="291" spans="1:21" x14ac:dyDescent="0.25">
      <c r="A291" s="65"/>
      <c r="B291" s="65"/>
      <c r="C291" s="61"/>
      <c r="D291" s="61"/>
      <c r="E291" s="65"/>
      <c r="F291" s="61"/>
      <c r="G291" s="61"/>
      <c r="H291" s="61"/>
      <c r="I291" s="61"/>
      <c r="J291" s="61"/>
      <c r="K291" s="61"/>
      <c r="L291" s="61"/>
      <c r="M291" s="65"/>
      <c r="N291" s="65"/>
      <c r="O291" s="65"/>
      <c r="P291" s="65"/>
      <c r="Q291" s="61"/>
      <c r="R291" s="65"/>
      <c r="S291" s="65"/>
      <c r="T291" s="65"/>
      <c r="U291" s="65"/>
    </row>
    <row r="292" spans="1:21" x14ac:dyDescent="0.25">
      <c r="A292" s="65"/>
      <c r="B292" s="65"/>
      <c r="C292" s="61"/>
      <c r="D292" s="61"/>
      <c r="E292" s="65"/>
      <c r="F292" s="61"/>
      <c r="G292" s="61"/>
      <c r="H292" s="61"/>
      <c r="I292" s="61"/>
      <c r="J292" s="61"/>
      <c r="K292" s="61"/>
      <c r="L292" s="61"/>
      <c r="M292" s="65"/>
      <c r="N292" s="65"/>
      <c r="O292" s="65"/>
      <c r="P292" s="65"/>
      <c r="Q292" s="61"/>
      <c r="R292" s="65"/>
      <c r="S292" s="65"/>
      <c r="T292" s="65"/>
      <c r="U292" s="65"/>
    </row>
    <row r="293" spans="1:21" x14ac:dyDescent="0.25">
      <c r="A293" s="65"/>
      <c r="B293" s="65"/>
      <c r="C293" s="61"/>
      <c r="D293" s="61"/>
      <c r="E293" s="65"/>
      <c r="F293" s="61"/>
      <c r="G293" s="61"/>
      <c r="H293" s="61"/>
      <c r="I293" s="61"/>
      <c r="J293" s="61"/>
      <c r="K293" s="61"/>
      <c r="L293" s="61"/>
      <c r="M293" s="65"/>
      <c r="N293" s="65"/>
      <c r="O293" s="65"/>
      <c r="P293" s="65"/>
      <c r="Q293" s="61"/>
      <c r="R293" s="65"/>
      <c r="S293" s="65"/>
      <c r="T293" s="65"/>
      <c r="U293" s="65"/>
    </row>
    <row r="294" spans="1:21" x14ac:dyDescent="0.25">
      <c r="A294" s="65"/>
      <c r="B294" s="65"/>
      <c r="C294" s="61"/>
      <c r="D294" s="61"/>
      <c r="E294" s="65"/>
      <c r="F294" s="61"/>
      <c r="G294" s="61"/>
      <c r="H294" s="61"/>
      <c r="I294" s="61"/>
      <c r="J294" s="61"/>
      <c r="K294" s="61"/>
      <c r="L294" s="61"/>
      <c r="M294" s="65"/>
      <c r="N294" s="65"/>
      <c r="O294" s="65"/>
      <c r="P294" s="65"/>
      <c r="Q294" s="61"/>
      <c r="R294" s="65"/>
      <c r="S294" s="65"/>
      <c r="T294" s="65"/>
      <c r="U294" s="65"/>
    </row>
    <row r="295" spans="1:21" x14ac:dyDescent="0.25">
      <c r="A295" s="65"/>
      <c r="B295" s="65"/>
      <c r="C295" s="61"/>
      <c r="D295" s="61"/>
      <c r="E295" s="65"/>
      <c r="F295" s="61"/>
      <c r="G295" s="61"/>
      <c r="H295" s="61"/>
      <c r="I295" s="61"/>
      <c r="J295" s="61"/>
      <c r="K295" s="61"/>
      <c r="L295" s="61"/>
      <c r="M295" s="65"/>
      <c r="N295" s="65"/>
      <c r="O295" s="65"/>
      <c r="P295" s="65"/>
      <c r="Q295" s="61"/>
      <c r="R295" s="65"/>
      <c r="S295" s="65"/>
      <c r="T295" s="65"/>
      <c r="U295" s="65"/>
    </row>
    <row r="296" spans="1:21" x14ac:dyDescent="0.25">
      <c r="A296" s="65"/>
      <c r="B296" s="65"/>
      <c r="C296" s="61"/>
      <c r="D296" s="61"/>
      <c r="E296" s="65"/>
      <c r="F296" s="61"/>
      <c r="G296" s="61"/>
      <c r="H296" s="61"/>
      <c r="I296" s="61"/>
      <c r="J296" s="61"/>
      <c r="K296" s="61"/>
      <c r="L296" s="61"/>
      <c r="M296" s="65"/>
      <c r="N296" s="65"/>
      <c r="O296" s="65"/>
      <c r="P296" s="65"/>
      <c r="Q296" s="61"/>
      <c r="R296" s="65"/>
      <c r="S296" s="65"/>
      <c r="T296" s="65"/>
      <c r="U296" s="65"/>
    </row>
    <row r="297" spans="1:21" x14ac:dyDescent="0.25">
      <c r="A297" s="65"/>
      <c r="B297" s="65"/>
      <c r="C297" s="61"/>
      <c r="D297" s="61"/>
      <c r="E297" s="65"/>
      <c r="F297" s="61"/>
      <c r="G297" s="61"/>
      <c r="H297" s="61"/>
      <c r="I297" s="61"/>
      <c r="J297" s="61"/>
      <c r="K297" s="61"/>
      <c r="L297" s="61"/>
      <c r="M297" s="65"/>
      <c r="N297" s="65"/>
      <c r="O297" s="65"/>
      <c r="P297" s="65"/>
      <c r="Q297" s="61"/>
      <c r="R297" s="65"/>
      <c r="S297" s="65"/>
      <c r="T297" s="65"/>
      <c r="U297" s="65"/>
    </row>
    <row r="298" spans="1:21" x14ac:dyDescent="0.25">
      <c r="A298" s="65"/>
      <c r="B298" s="65"/>
      <c r="C298" s="61"/>
      <c r="D298" s="61"/>
      <c r="E298" s="65"/>
      <c r="F298" s="61"/>
      <c r="G298" s="61"/>
      <c r="H298" s="61"/>
      <c r="I298" s="61"/>
      <c r="J298" s="61"/>
      <c r="K298" s="61"/>
      <c r="L298" s="61"/>
      <c r="M298" s="65"/>
      <c r="N298" s="65"/>
      <c r="O298" s="65"/>
      <c r="P298" s="65"/>
      <c r="Q298" s="61"/>
      <c r="R298" s="65"/>
      <c r="S298" s="65"/>
      <c r="T298" s="65"/>
      <c r="U298" s="65"/>
    </row>
    <row r="299" spans="1:21" x14ac:dyDescent="0.25">
      <c r="A299" s="65"/>
      <c r="B299" s="65"/>
      <c r="C299" s="61"/>
      <c r="D299" s="61"/>
      <c r="E299" s="65"/>
      <c r="F299" s="61"/>
      <c r="G299" s="61"/>
      <c r="H299" s="61"/>
      <c r="I299" s="61"/>
      <c r="J299" s="61"/>
      <c r="K299" s="61"/>
      <c r="L299" s="61"/>
      <c r="M299" s="65"/>
      <c r="N299" s="65"/>
      <c r="O299" s="65"/>
      <c r="P299" s="65"/>
      <c r="Q299" s="61"/>
      <c r="R299" s="65"/>
      <c r="S299" s="65"/>
      <c r="T299" s="65"/>
      <c r="U299" s="65"/>
    </row>
    <row r="300" spans="1:21" x14ac:dyDescent="0.25">
      <c r="A300" s="65"/>
      <c r="B300" s="65"/>
      <c r="C300" s="61"/>
      <c r="D300" s="61"/>
      <c r="E300" s="65"/>
      <c r="F300" s="61"/>
      <c r="G300" s="61"/>
      <c r="H300" s="61"/>
      <c r="I300" s="61"/>
      <c r="J300" s="61"/>
      <c r="K300" s="61"/>
      <c r="L300" s="61"/>
      <c r="M300" s="65"/>
      <c r="N300" s="65"/>
      <c r="O300" s="65"/>
      <c r="P300" s="65"/>
      <c r="Q300" s="61"/>
      <c r="R300" s="65"/>
      <c r="S300" s="65"/>
      <c r="T300" s="65"/>
      <c r="U300" s="65"/>
    </row>
    <row r="301" spans="1:21" x14ac:dyDescent="0.25">
      <c r="A301" s="65"/>
      <c r="B301" s="65"/>
      <c r="C301" s="61"/>
      <c r="D301" s="61"/>
      <c r="E301" s="65"/>
      <c r="F301" s="61"/>
      <c r="G301" s="61"/>
      <c r="H301" s="61"/>
      <c r="I301" s="61"/>
      <c r="J301" s="61"/>
      <c r="K301" s="61"/>
      <c r="L301" s="61"/>
      <c r="M301" s="65"/>
      <c r="N301" s="65"/>
      <c r="O301" s="65"/>
      <c r="P301" s="65"/>
      <c r="Q301" s="61"/>
      <c r="R301" s="65"/>
      <c r="S301" s="65"/>
      <c r="T301" s="65"/>
      <c r="U301" s="65"/>
    </row>
    <row r="302" spans="1:21" x14ac:dyDescent="0.25">
      <c r="A302" s="65"/>
      <c r="B302" s="65"/>
      <c r="C302" s="61"/>
      <c r="D302" s="61"/>
      <c r="E302" s="65"/>
      <c r="F302" s="61"/>
      <c r="G302" s="61"/>
      <c r="H302" s="61"/>
      <c r="I302" s="61"/>
      <c r="J302" s="61"/>
      <c r="K302" s="61"/>
      <c r="L302" s="61"/>
      <c r="M302" s="65"/>
      <c r="N302" s="65"/>
      <c r="O302" s="65"/>
      <c r="P302" s="65"/>
      <c r="Q302" s="61"/>
      <c r="R302" s="65"/>
      <c r="S302" s="65"/>
      <c r="T302" s="65"/>
      <c r="U302" s="65"/>
    </row>
    <row r="303" spans="1:21" x14ac:dyDescent="0.25">
      <c r="A303" s="65"/>
      <c r="B303" s="65"/>
      <c r="C303" s="61"/>
      <c r="D303" s="61"/>
      <c r="E303" s="65"/>
      <c r="F303" s="61"/>
      <c r="G303" s="61"/>
      <c r="H303" s="61"/>
      <c r="I303" s="61"/>
      <c r="J303" s="61"/>
      <c r="K303" s="61"/>
      <c r="L303" s="61"/>
      <c r="M303" s="65"/>
      <c r="N303" s="65"/>
      <c r="O303" s="65"/>
      <c r="P303" s="65"/>
      <c r="Q303" s="61"/>
      <c r="R303" s="65"/>
      <c r="S303" s="65"/>
      <c r="T303" s="65"/>
      <c r="U303" s="65"/>
    </row>
    <row r="304" spans="1:21" x14ac:dyDescent="0.25">
      <c r="A304" s="65"/>
      <c r="B304" s="65"/>
      <c r="C304" s="61"/>
      <c r="D304" s="61"/>
      <c r="E304" s="65"/>
      <c r="F304" s="61"/>
      <c r="G304" s="61"/>
      <c r="H304" s="61"/>
      <c r="I304" s="61"/>
      <c r="J304" s="61"/>
      <c r="K304" s="61"/>
      <c r="L304" s="61"/>
      <c r="M304" s="65"/>
      <c r="N304" s="65"/>
      <c r="O304" s="65"/>
      <c r="P304" s="65"/>
      <c r="Q304" s="61"/>
      <c r="R304" s="65"/>
      <c r="S304" s="65"/>
      <c r="T304" s="65"/>
      <c r="U304" s="65"/>
    </row>
    <row r="305" spans="1:21" x14ac:dyDescent="0.25">
      <c r="A305" s="65"/>
      <c r="B305" s="65"/>
      <c r="C305" s="61"/>
      <c r="D305" s="61"/>
      <c r="E305" s="65"/>
      <c r="F305" s="61"/>
      <c r="G305" s="61"/>
      <c r="H305" s="61"/>
      <c r="I305" s="61"/>
      <c r="J305" s="61"/>
      <c r="K305" s="61"/>
      <c r="L305" s="61"/>
      <c r="M305" s="65"/>
      <c r="N305" s="65"/>
      <c r="O305" s="65"/>
      <c r="P305" s="65"/>
      <c r="Q305" s="61"/>
      <c r="R305" s="65"/>
      <c r="S305" s="65"/>
      <c r="T305" s="65"/>
      <c r="U305" s="65"/>
    </row>
    <row r="306" spans="1:21" x14ac:dyDescent="0.25">
      <c r="A306" s="65"/>
      <c r="B306" s="65"/>
      <c r="C306" s="61"/>
      <c r="D306" s="61"/>
      <c r="E306" s="65"/>
      <c r="F306" s="61"/>
      <c r="G306" s="61"/>
      <c r="H306" s="61"/>
      <c r="I306" s="61"/>
      <c r="J306" s="61"/>
      <c r="K306" s="61"/>
      <c r="L306" s="61"/>
      <c r="M306" s="65"/>
      <c r="N306" s="65"/>
      <c r="O306" s="65"/>
      <c r="P306" s="65"/>
      <c r="Q306" s="61"/>
      <c r="R306" s="65"/>
      <c r="S306" s="65"/>
      <c r="T306" s="65"/>
      <c r="U306" s="65"/>
    </row>
    <row r="307" spans="1:21" x14ac:dyDescent="0.25">
      <c r="A307" s="65"/>
      <c r="B307" s="65"/>
      <c r="C307" s="61"/>
      <c r="D307" s="61"/>
      <c r="E307" s="65"/>
      <c r="F307" s="61"/>
      <c r="G307" s="61"/>
      <c r="H307" s="61"/>
      <c r="I307" s="61"/>
      <c r="J307" s="61"/>
      <c r="K307" s="61"/>
      <c r="L307" s="61"/>
      <c r="M307" s="65"/>
      <c r="N307" s="65"/>
      <c r="O307" s="65"/>
      <c r="P307" s="65"/>
      <c r="Q307" s="61"/>
      <c r="R307" s="65"/>
      <c r="S307" s="65"/>
      <c r="T307" s="65"/>
      <c r="U307" s="65"/>
    </row>
    <row r="308" spans="1:21" x14ac:dyDescent="0.25">
      <c r="A308" s="65"/>
      <c r="B308" s="65"/>
      <c r="C308" s="61"/>
      <c r="D308" s="61"/>
      <c r="E308" s="65"/>
      <c r="F308" s="61"/>
      <c r="G308" s="61"/>
      <c r="H308" s="61"/>
      <c r="I308" s="61"/>
      <c r="J308" s="61"/>
      <c r="K308" s="61"/>
      <c r="L308" s="61"/>
      <c r="M308" s="65"/>
      <c r="N308" s="65"/>
      <c r="O308" s="65"/>
      <c r="P308" s="65"/>
      <c r="Q308" s="61"/>
      <c r="R308" s="65"/>
      <c r="S308" s="65"/>
      <c r="T308" s="65"/>
      <c r="U308" s="65"/>
    </row>
    <row r="309" spans="1:21" x14ac:dyDescent="0.25">
      <c r="A309" s="65"/>
      <c r="B309" s="65"/>
      <c r="C309" s="61"/>
      <c r="D309" s="61"/>
      <c r="E309" s="65"/>
      <c r="F309" s="61"/>
      <c r="G309" s="61"/>
      <c r="H309" s="61"/>
      <c r="I309" s="61"/>
      <c r="J309" s="61"/>
      <c r="K309" s="61"/>
      <c r="L309" s="61"/>
      <c r="M309" s="65"/>
      <c r="N309" s="65"/>
      <c r="O309" s="65"/>
      <c r="P309" s="65"/>
      <c r="Q309" s="61"/>
      <c r="R309" s="65"/>
      <c r="S309" s="65"/>
      <c r="T309" s="65"/>
      <c r="U309" s="65"/>
    </row>
    <row r="310" spans="1:21" x14ac:dyDescent="0.25">
      <c r="A310" s="65"/>
      <c r="B310" s="65"/>
      <c r="C310" s="61"/>
      <c r="D310" s="61"/>
      <c r="E310" s="65"/>
      <c r="F310" s="61"/>
      <c r="G310" s="61"/>
      <c r="H310" s="61"/>
      <c r="I310" s="61"/>
      <c r="J310" s="61"/>
      <c r="K310" s="61"/>
      <c r="L310" s="61"/>
      <c r="M310" s="65"/>
      <c r="N310" s="65"/>
      <c r="O310" s="65"/>
      <c r="P310" s="65"/>
      <c r="Q310" s="61"/>
      <c r="R310" s="65"/>
      <c r="S310" s="65"/>
      <c r="T310" s="65"/>
      <c r="U310" s="65"/>
    </row>
    <row r="311" spans="1:21" x14ac:dyDescent="0.25">
      <c r="A311" s="65"/>
      <c r="B311" s="65"/>
      <c r="C311" s="61"/>
      <c r="D311" s="61"/>
      <c r="E311" s="65"/>
      <c r="F311" s="61"/>
      <c r="G311" s="61"/>
      <c r="H311" s="61"/>
      <c r="I311" s="61"/>
      <c r="J311" s="61"/>
      <c r="K311" s="61"/>
      <c r="L311" s="61"/>
      <c r="M311" s="65"/>
      <c r="N311" s="65"/>
      <c r="O311" s="65"/>
      <c r="P311" s="65"/>
      <c r="Q311" s="61"/>
      <c r="R311" s="65"/>
      <c r="S311" s="65"/>
      <c r="T311" s="65"/>
      <c r="U311" s="65"/>
    </row>
    <row r="312" spans="1:21" x14ac:dyDescent="0.25">
      <c r="A312" s="65"/>
      <c r="B312" s="65"/>
      <c r="C312" s="61"/>
      <c r="D312" s="61"/>
      <c r="E312" s="65"/>
      <c r="F312" s="61"/>
      <c r="G312" s="61"/>
      <c r="H312" s="61"/>
      <c r="I312" s="61"/>
      <c r="J312" s="61"/>
      <c r="K312" s="61"/>
      <c r="L312" s="61"/>
      <c r="M312" s="65"/>
      <c r="N312" s="65"/>
      <c r="O312" s="65"/>
      <c r="P312" s="65"/>
      <c r="Q312" s="61"/>
      <c r="R312" s="65"/>
      <c r="S312" s="65"/>
      <c r="T312" s="65"/>
      <c r="U312" s="65"/>
    </row>
    <row r="313" spans="1:21" x14ac:dyDescent="0.25">
      <c r="A313" s="65"/>
      <c r="B313" s="65"/>
      <c r="C313" s="61"/>
      <c r="D313" s="61"/>
      <c r="E313" s="65"/>
      <c r="F313" s="61"/>
      <c r="G313" s="61"/>
      <c r="H313" s="61"/>
      <c r="I313" s="61"/>
      <c r="J313" s="61"/>
      <c r="K313" s="61"/>
      <c r="L313" s="61"/>
      <c r="M313" s="65"/>
      <c r="N313" s="65"/>
      <c r="O313" s="65"/>
      <c r="P313" s="65"/>
      <c r="Q313" s="61"/>
      <c r="R313" s="65"/>
      <c r="S313" s="65"/>
      <c r="T313" s="65"/>
      <c r="U313" s="65"/>
    </row>
    <row r="314" spans="1:21" x14ac:dyDescent="0.25">
      <c r="A314" s="65"/>
      <c r="B314" s="65"/>
      <c r="C314" s="61"/>
      <c r="D314" s="61"/>
      <c r="E314" s="65"/>
      <c r="F314" s="61"/>
      <c r="G314" s="61"/>
      <c r="H314" s="61"/>
      <c r="I314" s="61"/>
      <c r="J314" s="61"/>
      <c r="K314" s="61"/>
      <c r="L314" s="61"/>
      <c r="M314" s="65"/>
      <c r="N314" s="65"/>
      <c r="O314" s="65"/>
      <c r="P314" s="65"/>
      <c r="Q314" s="61"/>
      <c r="R314" s="65"/>
      <c r="S314" s="65"/>
      <c r="T314" s="65"/>
      <c r="U314" s="65"/>
    </row>
    <row r="315" spans="1:21" x14ac:dyDescent="0.25">
      <c r="A315" s="65"/>
      <c r="B315" s="65"/>
      <c r="C315" s="61"/>
      <c r="D315" s="61"/>
      <c r="E315" s="65"/>
      <c r="F315" s="61"/>
      <c r="G315" s="61"/>
      <c r="H315" s="61"/>
      <c r="I315" s="61"/>
      <c r="J315" s="61"/>
      <c r="K315" s="61"/>
      <c r="L315" s="61"/>
      <c r="M315" s="65"/>
      <c r="N315" s="65"/>
      <c r="O315" s="65"/>
      <c r="P315" s="65"/>
      <c r="Q315" s="61"/>
      <c r="R315" s="65"/>
      <c r="S315" s="65"/>
      <c r="T315" s="65"/>
      <c r="U315" s="65"/>
    </row>
    <row r="316" spans="1:21" x14ac:dyDescent="0.25">
      <c r="A316" s="65"/>
      <c r="B316" s="65"/>
      <c r="C316" s="61"/>
      <c r="D316" s="61"/>
      <c r="E316" s="65"/>
      <c r="F316" s="61"/>
      <c r="G316" s="61"/>
      <c r="H316" s="61"/>
      <c r="I316" s="61"/>
      <c r="J316" s="61"/>
      <c r="K316" s="61"/>
      <c r="L316" s="61"/>
      <c r="M316" s="65"/>
      <c r="N316" s="65"/>
      <c r="O316" s="65"/>
      <c r="P316" s="65"/>
      <c r="Q316" s="61"/>
      <c r="R316" s="65"/>
      <c r="S316" s="65"/>
      <c r="T316" s="65"/>
      <c r="U316" s="65"/>
    </row>
    <row r="317" spans="1:21" x14ac:dyDescent="0.25">
      <c r="A317" s="65"/>
      <c r="B317" s="65"/>
      <c r="C317" s="61"/>
      <c r="D317" s="61"/>
      <c r="E317" s="65"/>
      <c r="F317" s="61"/>
      <c r="G317" s="61"/>
      <c r="H317" s="61"/>
      <c r="I317" s="61"/>
      <c r="J317" s="61"/>
      <c r="K317" s="61"/>
      <c r="L317" s="61"/>
      <c r="M317" s="65"/>
      <c r="N317" s="65"/>
      <c r="O317" s="65"/>
      <c r="P317" s="65"/>
      <c r="Q317" s="61"/>
      <c r="R317" s="65"/>
      <c r="S317" s="65"/>
      <c r="T317" s="65"/>
      <c r="U317" s="65"/>
    </row>
    <row r="318" spans="1:21" x14ac:dyDescent="0.25">
      <c r="A318" s="65"/>
      <c r="B318" s="65"/>
      <c r="C318" s="61"/>
      <c r="D318" s="61"/>
      <c r="E318" s="65"/>
      <c r="F318" s="61"/>
      <c r="G318" s="61"/>
      <c r="H318" s="61"/>
      <c r="I318" s="61"/>
      <c r="J318" s="61"/>
      <c r="K318" s="61"/>
      <c r="L318" s="61"/>
      <c r="M318" s="65"/>
      <c r="N318" s="65"/>
      <c r="O318" s="65"/>
      <c r="P318" s="65"/>
      <c r="Q318" s="61"/>
      <c r="R318" s="65"/>
      <c r="S318" s="65"/>
      <c r="T318" s="65"/>
      <c r="U318" s="65"/>
    </row>
    <row r="319" spans="1:21" x14ac:dyDescent="0.25">
      <c r="A319" s="65"/>
      <c r="B319" s="65"/>
      <c r="C319" s="61"/>
      <c r="D319" s="61"/>
      <c r="E319" s="65"/>
      <c r="F319" s="61"/>
      <c r="G319" s="61"/>
      <c r="H319" s="61"/>
      <c r="I319" s="61"/>
      <c r="J319" s="61"/>
      <c r="K319" s="61"/>
      <c r="L319" s="61"/>
      <c r="M319" s="65"/>
      <c r="N319" s="65"/>
      <c r="O319" s="65"/>
      <c r="P319" s="65"/>
      <c r="Q319" s="61"/>
      <c r="R319" s="65"/>
      <c r="S319" s="65"/>
      <c r="T319" s="65"/>
      <c r="U319" s="65"/>
    </row>
    <row r="320" spans="1:21" x14ac:dyDescent="0.25">
      <c r="A320" s="65"/>
      <c r="B320" s="65"/>
      <c r="C320" s="61"/>
      <c r="D320" s="61"/>
      <c r="E320" s="65"/>
      <c r="F320" s="61"/>
      <c r="G320" s="61"/>
      <c r="H320" s="61"/>
      <c r="I320" s="61"/>
      <c r="J320" s="61"/>
      <c r="K320" s="61"/>
      <c r="L320" s="61"/>
      <c r="M320" s="65"/>
      <c r="N320" s="65"/>
      <c r="O320" s="65"/>
      <c r="P320" s="65"/>
      <c r="Q320" s="61"/>
      <c r="R320" s="65"/>
      <c r="S320" s="65"/>
      <c r="T320" s="65"/>
      <c r="U320" s="65"/>
    </row>
    <row r="321" spans="1:21" x14ac:dyDescent="0.25">
      <c r="A321" s="65"/>
      <c r="B321" s="65"/>
      <c r="C321" s="61"/>
      <c r="D321" s="61"/>
      <c r="E321" s="65"/>
      <c r="F321" s="61"/>
      <c r="G321" s="61"/>
      <c r="H321" s="61"/>
      <c r="I321" s="61"/>
      <c r="J321" s="61"/>
      <c r="K321" s="61"/>
      <c r="L321" s="61"/>
      <c r="M321" s="65"/>
      <c r="N321" s="65"/>
      <c r="O321" s="65"/>
      <c r="P321" s="65"/>
      <c r="Q321" s="61"/>
      <c r="R321" s="65"/>
      <c r="S321" s="65"/>
      <c r="T321" s="65"/>
      <c r="U321" s="65"/>
    </row>
    <row r="322" spans="1:21" x14ac:dyDescent="0.25">
      <c r="A322" s="65"/>
      <c r="B322" s="65"/>
      <c r="C322" s="61"/>
      <c r="D322" s="61"/>
      <c r="E322" s="65"/>
      <c r="F322" s="61"/>
      <c r="G322" s="61"/>
      <c r="H322" s="61"/>
      <c r="I322" s="61"/>
      <c r="J322" s="61"/>
      <c r="K322" s="61"/>
      <c r="L322" s="61"/>
      <c r="M322" s="65"/>
      <c r="N322" s="65"/>
      <c r="O322" s="65"/>
      <c r="P322" s="65"/>
      <c r="Q322" s="61"/>
      <c r="R322" s="65"/>
      <c r="S322" s="65"/>
      <c r="T322" s="65"/>
      <c r="U322" s="65"/>
    </row>
    <row r="323" spans="1:21" x14ac:dyDescent="0.25">
      <c r="A323" s="65"/>
      <c r="B323" s="65"/>
      <c r="C323" s="61"/>
      <c r="D323" s="61"/>
      <c r="E323" s="65"/>
      <c r="F323" s="61"/>
      <c r="G323" s="61"/>
      <c r="H323" s="61"/>
      <c r="I323" s="61"/>
      <c r="J323" s="61"/>
      <c r="K323" s="61"/>
      <c r="L323" s="61"/>
      <c r="M323" s="65"/>
      <c r="N323" s="65"/>
      <c r="O323" s="65"/>
      <c r="P323" s="65"/>
      <c r="Q323" s="61"/>
      <c r="R323" s="65"/>
      <c r="S323" s="65"/>
      <c r="T323" s="65"/>
      <c r="U323" s="65"/>
    </row>
    <row r="324" spans="1:21" x14ac:dyDescent="0.25">
      <c r="A324" s="65"/>
      <c r="B324" s="65"/>
      <c r="C324" s="61"/>
      <c r="D324" s="61"/>
      <c r="E324" s="65"/>
      <c r="F324" s="61"/>
      <c r="G324" s="61"/>
      <c r="H324" s="61"/>
      <c r="I324" s="61"/>
      <c r="J324" s="61"/>
      <c r="K324" s="61"/>
      <c r="L324" s="61"/>
      <c r="M324" s="65"/>
      <c r="N324" s="65"/>
      <c r="O324" s="65"/>
      <c r="P324" s="65"/>
      <c r="Q324" s="61"/>
      <c r="R324" s="65"/>
      <c r="S324" s="65"/>
      <c r="T324" s="65"/>
      <c r="U324" s="65"/>
    </row>
    <row r="325" spans="1:21" x14ac:dyDescent="0.25">
      <c r="A325" s="65"/>
      <c r="B325" s="65"/>
      <c r="C325" s="61"/>
      <c r="D325" s="61"/>
      <c r="E325" s="65"/>
      <c r="F325" s="61"/>
      <c r="G325" s="61"/>
      <c r="H325" s="61"/>
      <c r="I325" s="61"/>
      <c r="J325" s="61"/>
      <c r="K325" s="61"/>
      <c r="L325" s="61"/>
      <c r="M325" s="65"/>
      <c r="N325" s="65"/>
      <c r="O325" s="65"/>
      <c r="P325" s="65"/>
      <c r="Q325" s="61"/>
      <c r="R325" s="65"/>
      <c r="S325" s="65"/>
      <c r="T325" s="65"/>
      <c r="U325" s="65"/>
    </row>
    <row r="326" spans="1:21" x14ac:dyDescent="0.25">
      <c r="A326" s="65"/>
      <c r="B326" s="65"/>
      <c r="C326" s="61"/>
      <c r="D326" s="61"/>
      <c r="E326" s="65"/>
      <c r="F326" s="61"/>
      <c r="G326" s="61"/>
      <c r="H326" s="61"/>
      <c r="I326" s="61"/>
      <c r="J326" s="61"/>
      <c r="K326" s="61"/>
      <c r="L326" s="61"/>
      <c r="M326" s="65"/>
      <c r="N326" s="65"/>
      <c r="O326" s="65"/>
      <c r="P326" s="65"/>
      <c r="Q326" s="61"/>
      <c r="R326" s="65"/>
      <c r="S326" s="65"/>
      <c r="T326" s="65"/>
      <c r="U326" s="65"/>
    </row>
    <row r="327" spans="1:21" x14ac:dyDescent="0.25">
      <c r="A327" s="65"/>
      <c r="B327" s="65"/>
      <c r="C327" s="61"/>
      <c r="D327" s="61"/>
      <c r="E327" s="65"/>
      <c r="F327" s="61"/>
      <c r="G327" s="61"/>
      <c r="H327" s="61"/>
      <c r="I327" s="61"/>
      <c r="J327" s="61"/>
      <c r="K327" s="61"/>
      <c r="L327" s="61"/>
      <c r="M327" s="65"/>
      <c r="N327" s="65"/>
      <c r="O327" s="65"/>
      <c r="P327" s="65"/>
      <c r="Q327" s="61"/>
      <c r="R327" s="65"/>
      <c r="S327" s="65"/>
      <c r="T327" s="65"/>
      <c r="U327" s="65"/>
    </row>
    <row r="328" spans="1:21" x14ac:dyDescent="0.25">
      <c r="A328" s="65"/>
      <c r="B328" s="65"/>
      <c r="C328" s="61"/>
      <c r="D328" s="61"/>
      <c r="E328" s="65"/>
      <c r="F328" s="61"/>
      <c r="G328" s="61"/>
      <c r="H328" s="61"/>
      <c r="I328" s="61"/>
      <c r="J328" s="61"/>
      <c r="K328" s="61"/>
      <c r="L328" s="61"/>
      <c r="M328" s="65"/>
      <c r="N328" s="65"/>
      <c r="O328" s="65"/>
      <c r="P328" s="65"/>
      <c r="Q328" s="61"/>
      <c r="R328" s="65"/>
      <c r="S328" s="65"/>
      <c r="T328" s="65"/>
      <c r="U328" s="65"/>
    </row>
    <row r="329" spans="1:21" x14ac:dyDescent="0.25">
      <c r="A329" s="65"/>
      <c r="B329" s="65"/>
      <c r="C329" s="61"/>
      <c r="D329" s="61"/>
      <c r="E329" s="65"/>
      <c r="F329" s="61"/>
      <c r="G329" s="61"/>
      <c r="H329" s="61"/>
      <c r="I329" s="61"/>
      <c r="J329" s="61"/>
      <c r="K329" s="61"/>
      <c r="L329" s="61"/>
      <c r="M329" s="65"/>
      <c r="N329" s="65"/>
      <c r="O329" s="65"/>
      <c r="P329" s="65"/>
      <c r="Q329" s="61"/>
      <c r="R329" s="65"/>
      <c r="S329" s="65"/>
      <c r="T329" s="65"/>
      <c r="U329" s="65"/>
    </row>
    <row r="330" spans="1:21" x14ac:dyDescent="0.25">
      <c r="A330" s="65"/>
      <c r="B330" s="65"/>
      <c r="C330" s="61"/>
      <c r="D330" s="61"/>
      <c r="E330" s="65"/>
      <c r="F330" s="61"/>
      <c r="G330" s="61"/>
      <c r="H330" s="61"/>
      <c r="I330" s="61"/>
      <c r="J330" s="61"/>
      <c r="K330" s="61"/>
      <c r="L330" s="61"/>
      <c r="M330" s="65"/>
      <c r="N330" s="65"/>
      <c r="O330" s="65"/>
      <c r="P330" s="65"/>
      <c r="Q330" s="61"/>
      <c r="R330" s="65"/>
      <c r="S330" s="65"/>
      <c r="T330" s="65"/>
      <c r="U330" s="65"/>
    </row>
    <row r="331" spans="1:21" x14ac:dyDescent="0.25">
      <c r="A331" s="65"/>
      <c r="B331" s="65"/>
      <c r="C331" s="61"/>
      <c r="D331" s="61"/>
      <c r="E331" s="65"/>
      <c r="F331" s="61"/>
      <c r="G331" s="61"/>
      <c r="H331" s="61"/>
      <c r="I331" s="61"/>
      <c r="J331" s="61"/>
      <c r="K331" s="61"/>
      <c r="L331" s="61"/>
      <c r="M331" s="65"/>
      <c r="N331" s="65"/>
      <c r="O331" s="65"/>
      <c r="P331" s="65"/>
      <c r="Q331" s="61"/>
      <c r="R331" s="65"/>
      <c r="S331" s="65"/>
      <c r="T331" s="65"/>
      <c r="U331" s="65"/>
    </row>
    <row r="332" spans="1:21" x14ac:dyDescent="0.25">
      <c r="A332" s="65"/>
      <c r="B332" s="65"/>
      <c r="C332" s="61"/>
      <c r="D332" s="61"/>
      <c r="E332" s="65"/>
      <c r="F332" s="61"/>
      <c r="G332" s="61"/>
      <c r="H332" s="61"/>
      <c r="I332" s="61"/>
      <c r="J332" s="61"/>
      <c r="K332" s="61"/>
      <c r="L332" s="61"/>
      <c r="M332" s="65"/>
      <c r="N332" s="65"/>
      <c r="O332" s="65"/>
      <c r="P332" s="65"/>
      <c r="Q332" s="61"/>
      <c r="R332" s="65"/>
      <c r="S332" s="65"/>
      <c r="T332" s="65"/>
      <c r="U332" s="65"/>
    </row>
    <row r="333" spans="1:21" x14ac:dyDescent="0.25">
      <c r="A333" s="65"/>
      <c r="B333" s="65"/>
      <c r="C333" s="61"/>
      <c r="D333" s="61"/>
      <c r="E333" s="65"/>
      <c r="F333" s="61"/>
      <c r="G333" s="61"/>
      <c r="H333" s="61"/>
      <c r="I333" s="61"/>
      <c r="J333" s="61"/>
      <c r="K333" s="61"/>
      <c r="L333" s="61"/>
      <c r="M333" s="65"/>
      <c r="N333" s="65"/>
      <c r="O333" s="65"/>
      <c r="P333" s="65"/>
      <c r="Q333" s="61"/>
      <c r="R333" s="65"/>
      <c r="S333" s="65"/>
      <c r="T333" s="65"/>
      <c r="U333" s="65"/>
    </row>
    <row r="334" spans="1:21" x14ac:dyDescent="0.25">
      <c r="A334" s="65"/>
      <c r="B334" s="65"/>
      <c r="C334" s="61"/>
      <c r="D334" s="61"/>
      <c r="E334" s="65"/>
      <c r="F334" s="61"/>
      <c r="G334" s="61"/>
      <c r="H334" s="61"/>
      <c r="I334" s="61"/>
      <c r="J334" s="61"/>
      <c r="K334" s="61"/>
      <c r="L334" s="61"/>
      <c r="M334" s="65"/>
      <c r="N334" s="65"/>
      <c r="O334" s="65"/>
      <c r="P334" s="65"/>
      <c r="Q334" s="61"/>
      <c r="R334" s="65"/>
      <c r="S334" s="65"/>
      <c r="T334" s="65"/>
      <c r="U334" s="65"/>
    </row>
    <row r="335" spans="1:21" x14ac:dyDescent="0.25">
      <c r="A335" s="65"/>
      <c r="B335" s="65"/>
      <c r="C335" s="61"/>
      <c r="D335" s="61"/>
      <c r="E335" s="65"/>
      <c r="F335" s="61"/>
      <c r="G335" s="61"/>
      <c r="H335" s="61"/>
      <c r="I335" s="61"/>
      <c r="J335" s="61"/>
      <c r="K335" s="61"/>
      <c r="L335" s="61"/>
      <c r="M335" s="65"/>
      <c r="N335" s="65"/>
      <c r="O335" s="65"/>
      <c r="P335" s="65"/>
      <c r="Q335" s="61"/>
      <c r="R335" s="65"/>
      <c r="S335" s="65"/>
      <c r="T335" s="65"/>
      <c r="U335" s="65"/>
    </row>
    <row r="336" spans="1:21" x14ac:dyDescent="0.25">
      <c r="A336" s="65"/>
      <c r="B336" s="65"/>
      <c r="C336" s="61"/>
      <c r="D336" s="61"/>
      <c r="E336" s="65"/>
      <c r="F336" s="61"/>
      <c r="G336" s="61"/>
      <c r="H336" s="61"/>
      <c r="I336" s="61"/>
      <c r="J336" s="61"/>
      <c r="K336" s="61"/>
      <c r="L336" s="61"/>
      <c r="M336" s="65"/>
      <c r="N336" s="65"/>
      <c r="O336" s="65"/>
      <c r="P336" s="65"/>
      <c r="Q336" s="61"/>
      <c r="R336" s="65"/>
      <c r="S336" s="65"/>
      <c r="T336" s="65"/>
      <c r="U336" s="65"/>
    </row>
  </sheetData>
  <sheetProtection formatCells="0" formatColumns="0" formatRows="0" insertRows="0" deleteRows="0" sort="0" autoFilter="0"/>
  <protectedRanges>
    <protectedRange sqref="B263:S279 B280:C280 S246:S257 S216:S218 A263:A280" name="Neue AD"/>
    <protectedRange sqref="B86:G90 A156 B156:G156 B225 D225:G225 B226:G229 B205:G206 S215 S207 G53 A252:A257 A207:A210 B207:G210 B114:G155 A109 B188:G189 A112 B109:G110 B112:G113 I14:J14 L14:R14 I21:I22 L22:S22 I37:I38 L37:S38 I44 L44:S44 I104:I107 L104:S107 I113 L113:S113 I189 L189:R189 I214:J214 L214:R214 I249:J249 L249:R249 S188:S194 L191:R194 I177:J177 L177:S177 I173:J173 L173:S173 I152:J152 L152:S152 I148:J148 L148:S148 I130:J130 L130:S130 I115:J115 L115:S115 I100:J100 L100:S100 I16:J16 L16:R16 I7:J7 L7:S7 B239:G239 I239:S245 B242:G245 A241:A245 C80 B240 B241 E240:G241 B6:G17 C59:C60 B18:C18 E18:G18 B19:G30 B100:G107 B98:C99 E98:G99 B5:S5 I8:R13 I17:R20 I101:S103 I116:S129 I131:S147 I149:S151 I153:S156 I174:S176 I178:S179 I250:R251 I114:S114 I46:S46 I39:S43 I15:R15 I112:S112 I109:S110 I6:S6 I188:R188 B262:S262 B33:G48 B31:C32 E31:G32 I213:R213 S211:S212 B211:G211 A211:A212 I205:R211 B191:G201 I191:K201 L195:S201 I165:S172 I219:S229 B165:G179 B246:G251 I202:R203 I246:R248 A202:A206 B202:G203 S202:S205 B213:G224 I48:S48 I47:P47 R47:S47 R45:S45 I45:P45 B93:G97 B91:C91 E91:G91 I86:S91 I93:S99 C57 I215:R218 L21:R21 S8:S21 I23:S36 A91 A93:A97 A213:A224 A246:A251 A165:A179 A191:A201 A31:A32 A33:A48 A262 A5 A98:A99 A100:A107 A19:A30 A18 A6:A17 A240 A239 A188:A189 A114:A155 A226:A229 A225 A86:A90" name="Dateneingabe" securityDescriptor="O:WDG:WDD:(A;;CC;;;WD)"/>
    <protectedRange sqref="C2:D2" name="Anlass"/>
    <protectedRange sqref="J2:L2" name="IdAnlass"/>
    <protectedRange sqref="B204:G204 B49:G52 B184:G185 B183 D183:G183 B180:G182 B53:F53 A157:G164 I92 I60 I53 L53:S53 I55 L55:S55 I66 L66:S66 I75 L75:S75 I82 L82:S82 L92:S92 I181:J181 L181:S181 B59:B60 D59:G60 B80 D80:G80 B81:G85 D98:D99 L60:S60 B54:G56 I54:S54 I182:S185 I204:R204 I76:S81 I230:S238 I49:S52 I157:S164 I180:S180 I56:S59 B212:G212 I212:R212 Q47 Q45 I67:S74 D91 B61:G79 B58:G58 B57 D57:G57 I83:S85 I61:S65 A230:G238 A180:A185 A92:G92 A49:A85" name="Dateneingabe_1" securityDescriptor="O:WDG:WDD:(A;;CC;;;WD)"/>
    <protectedRange sqref="C183" name="Dateneingabe_1_1" securityDescriptor="O:WDG:WDD:(A;;CC;;;WD)"/>
    <protectedRange sqref="C225" name="Neue ADs_1"/>
    <protectedRange sqref="C225" name="Neue AD_1"/>
    <protectedRange sqref="R190" name="Neue AD_2"/>
    <protectedRange sqref="Q190" name="Dateneingabe_2" securityDescriptor="O:WDG:WDD:(A;;CC;;;WD)"/>
    <protectedRange sqref="H53 H112:H132 H188:H189 H109:H110 H6:H48 H134:H156 H205:H211 H165:H179 H191:H203 H239:H251 H86:H91 H93:H107 H213:H229" name="Dateneingabe_4" securityDescriptor="O:WDG:WDD:(A;;CC;;;WD)"/>
    <protectedRange sqref="H204 H49:H52 H92 H180:H185 H230:H238 H157:H162 H164 H212 H54:H85" name="Dateneingabe_1_2" securityDescriptor="O:WDG:WDD:(A;;CC;;;WD)"/>
    <protectedRange sqref="I108 A110 A108:G108 A113 L108:S108" name="Dateneingabe_5" securityDescriptor="O:WDG:WDD:(A;;CC;;;WD)"/>
    <protectedRange sqref="H108" name="Dateneingabe_4_1" securityDescriptor="O:WDG:WDD:(A;;CC;;;WD)"/>
    <protectedRange sqref="E186:F186 H186:I186 L186:S186 A186:B186" name="Dateneingabe_6" securityDescriptor="O:WDG:WDD:(A;;CC;;;WD)"/>
    <protectedRange sqref="C186" name="Dateneingabe_5_1" securityDescriptor="O:WDG:WDD:(A;;CC;;;WD)"/>
    <protectedRange sqref="G186" name="Dateneingabe_6_1" securityDescriptor="O:WDG:WDD:(A;;CC;;;WD)"/>
    <protectedRange sqref="J186:K186" name="Dateneingabe_7" securityDescriptor="O:WDG:WDD:(A;;CC;;;WD)"/>
    <protectedRange sqref="E187:F187 H187:I187 L187:S187 A187:B187" name="Dateneingabe_8" securityDescriptor="O:WDG:WDD:(A;;CC;;;WD)"/>
    <protectedRange sqref="C187" name="Dateneingabe_5_2" securityDescriptor="O:WDG:WDD:(A;;CC;;;WD)"/>
    <protectedRange sqref="G187" name="Dateneingabe_6_2" securityDescriptor="O:WDG:WDD:(A;;CC;;;WD)"/>
    <protectedRange sqref="R111:S111 L111:N111 A111:I111" name="Dateneingabe_1_2_2" securityDescriptor="O:WDG:WDD:(A;;CC;;;WD)"/>
    <protectedRange sqref="K14" name="Dateneingabe_11" securityDescriptor="O:WDG:WDD:(A;;CC;;;WD)"/>
    <protectedRange sqref="K21" name="Dateneingabe_12" securityDescriptor="O:WDG:WDD:(A;;CC;;;WD)"/>
    <protectedRange sqref="J21" name="Dateneingabe_7_2" securityDescriptor="O:WDG:WDD:(A;;CC;;;WD)"/>
    <protectedRange sqref="K22" name="Dateneingabe_13" securityDescriptor="O:WDG:WDD:(A;;CC;;;WD)"/>
    <protectedRange sqref="J22" name="Dateneingabe_7_3" securityDescriptor="O:WDG:WDD:(A;;CC;;;WD)"/>
    <protectedRange sqref="K37" name="Dateneingabe_14" securityDescriptor="O:WDG:WDD:(A;;CC;;;WD)"/>
    <protectedRange sqref="J37" name="Dateneingabe_7_4" securityDescriptor="O:WDG:WDD:(A;;CC;;;WD)"/>
    <protectedRange sqref="K55 K82 K38" name="Dateneingabe_15" securityDescriptor="O:WDG:WDD:(A;;CC;;;WD)"/>
    <protectedRange sqref="J38 J55 J82" name="Dateneingabe_7_5" securityDescriptor="O:WDG:WDD:(A;;CC;;;WD)"/>
    <protectedRange sqref="K44" name="Dateneingabe_16" securityDescriptor="O:WDG:WDD:(A;;CC;;;WD)"/>
    <protectedRange sqref="J44" name="Dateneingabe_7_6" securityDescriptor="O:WDG:WDD:(A;;CC;;;WD)"/>
    <protectedRange sqref="K53" name="Dateneingabe_1_6" securityDescriptor="O:WDG:WDD:(A;;CC;;;WD)"/>
    <protectedRange sqref="J53" name="Dateneingabe_1_5_2" securityDescriptor="O:WDG:WDD:(A;;CC;;;WD)"/>
    <protectedRange sqref="K60" name="Dateneingabe_1_7" securityDescriptor="O:WDG:WDD:(A;;CC;;;WD)"/>
    <protectedRange sqref="J60" name="Dateneingabe_1_5_3" securityDescriptor="O:WDG:WDD:(A;;CC;;;WD)"/>
    <protectedRange sqref="K66" name="Dateneingabe_1_9" securityDescriptor="O:WDG:WDD:(A;;CC;;;WD)"/>
    <protectedRange sqref="J66" name="Dateneingabe_1_5_5" securityDescriptor="O:WDG:WDD:(A;;CC;;;WD)"/>
    <protectedRange sqref="K75" name="Dateneingabe_1_10" securityDescriptor="O:WDG:WDD:(A;;CC;;;WD)"/>
    <protectedRange sqref="J75" name="Dateneingabe_1_5_6" securityDescriptor="O:WDG:WDD:(A;;CC;;;WD)"/>
    <protectedRange sqref="K92" name="Dateneingabe_1_12" securityDescriptor="O:WDG:WDD:(A;;CC;;;WD)"/>
    <protectedRange sqref="J92" name="Dateneingabe_1_5_8" securityDescriptor="O:WDG:WDD:(A;;CC;;;WD)"/>
    <protectedRange sqref="K104" name="Dateneingabe_17" securityDescriptor="O:WDG:WDD:(A;;CC;;;WD)"/>
    <protectedRange sqref="J104" name="Dateneingabe_7_7" securityDescriptor="O:WDG:WDD:(A;;CC;;;WD)"/>
    <protectedRange sqref="K105:K106" name="Dateneingabe_18" securityDescriptor="O:WDG:WDD:(A;;CC;;;WD)"/>
    <protectedRange sqref="J105:J106" name="Dateneingabe_7_8" securityDescriptor="O:WDG:WDD:(A;;CC;;;WD)"/>
    <protectedRange sqref="J107" name="Dateneingabe_8_2" securityDescriptor="O:WDG:WDD:(A;;CC;;;WD)"/>
    <protectedRange sqref="J108" name="Dateneingabe_5_1_2" securityDescriptor="O:WDG:WDD:(A;;CC;;;WD)"/>
    <protectedRange sqref="K108" name="Dateneingabe_5_1_1_2" securityDescriptor="O:WDG:WDD:(A;;CC;;;WD)"/>
    <protectedRange sqref="K113" name="Dateneingabe_19" securityDescriptor="O:WDG:WDD:(A;;CC;;;WD)"/>
    <protectedRange sqref="J113" name="Dateneingabe_7_9" securityDescriptor="O:WDG:WDD:(A;;CC;;;WD)"/>
    <protectedRange sqref="J187" name="Dateneingabe_20" securityDescriptor="O:WDG:WDD:(A;;CC;;;WD)"/>
    <protectedRange sqref="K187" name="Dateneingabe_4_3" securityDescriptor="O:WDG:WDD:(A;;CC;;;WD)"/>
    <protectedRange sqref="K189" name="Dateneingabe_21" securityDescriptor="O:WDG:WDD:(A;;CC;;;WD)"/>
    <protectedRange sqref="J189" name="Dateneingabe_7_10" securityDescriptor="O:WDG:WDD:(A;;CC;;;WD)"/>
    <protectedRange sqref="D186" name="Dateneingabe_5_2_1" securityDescriptor="O:WDG:WDD:(A;;CC;;;WD)"/>
    <protectedRange sqref="D187" name="Dateneingabe_5_3" securityDescriptor="O:WDG:WDD:(A;;CC;;;WD)"/>
    <protectedRange sqref="K214" name="Dateneingabe_22" securityDescriptor="O:WDG:WDD:(A;;CC;;;WD)"/>
    <protectedRange sqref="K249" name="Dateneingabe_23" securityDescriptor="O:WDG:WDD:(A;;CC;;;WD)"/>
    <protectedRange sqref="K181" name="Dateneingabe_1_13" securityDescriptor="O:WDG:WDD:(A;;CC;;;WD)"/>
    <protectedRange sqref="K177" name="Dateneingabe_1_14" securityDescriptor="O:WDG:WDD:(A;;CC;;;WD)"/>
    <protectedRange sqref="K173" name="Dateneingabe_1_15" securityDescriptor="O:WDG:WDD:(A;;CC;;;WD)"/>
    <protectedRange sqref="K152" name="Dateneingabe_1_16" securityDescriptor="O:WDG:WDD:(A;;CC;;;WD)"/>
    <protectedRange sqref="K148" name="Dateneingabe_1_17" securityDescriptor="O:WDG:WDD:(A;;CC;;;WD)"/>
    <protectedRange sqref="K130" name="Dateneingabe_1_18" securityDescriptor="O:WDG:WDD:(A;;CC;;;WD)"/>
    <protectedRange sqref="K115" name="Dateneingabe_1_19" securityDescriptor="O:WDG:WDD:(A;;CC;;;WD)"/>
    <protectedRange sqref="K100" name="Dateneingabe_1_20" securityDescriptor="O:WDG:WDD:(A;;CC;;;WD)"/>
    <protectedRange sqref="K16" name="Dateneingabe_1_21" securityDescriptor="O:WDG:WDD:(A;;CC;;;WD)"/>
    <protectedRange sqref="K7" name="Dateneingabe_1_22" securityDescriptor="O:WDG:WDD:(A;;CC;;;WD)"/>
    <protectedRange sqref="C240:D241" name="Dateneingabe_3" securityDescriptor="O:WDG:WDD:(A;;CC;;;WD)"/>
    <protectedRange sqref="D18" name="Dateneingabe_10" securityDescriptor="O:WDG:WDD:(A;;CC;;;WD)"/>
    <protectedRange sqref="H133" name="Dateneingabe_1_2_2_1_1" securityDescriptor="O:WDG:WDD:(A;;CC;;;WD)"/>
    <protectedRange sqref="H163" name="Dateneingabe_67" securityDescriptor="O:WDG:WDD:(A;;CC;;;WD)"/>
    <protectedRange sqref="D31:D32" name="Dateneingabe_5_4" securityDescriptor="O:WDG:WDD:(A;;CC;;;WD)"/>
  </protectedRanges>
  <autoFilter ref="A5:S279"/>
  <mergeCells count="2">
    <mergeCell ref="O4:Q4"/>
    <mergeCell ref="W4:AE4"/>
  </mergeCells>
  <conditionalFormatting sqref="B262">
    <cfRule type="duplicateValues" dxfId="42" priority="36"/>
  </conditionalFormatting>
  <conditionalFormatting sqref="B213">
    <cfRule type="duplicateValues" dxfId="41" priority="35"/>
  </conditionalFormatting>
  <conditionalFormatting sqref="B214">
    <cfRule type="duplicateValues" dxfId="40" priority="34"/>
  </conditionalFormatting>
  <conditionalFormatting sqref="B215">
    <cfRule type="duplicateValues" dxfId="39" priority="33"/>
  </conditionalFormatting>
  <conditionalFormatting sqref="B230:B238 B204 B180:B185 B157:B160 B92 B162:B164 B49:B85">
    <cfRule type="duplicateValues" dxfId="38" priority="38"/>
  </conditionalFormatting>
  <conditionalFormatting sqref="B172">
    <cfRule type="duplicateValues" dxfId="37" priority="32"/>
  </conditionalFormatting>
  <conditionalFormatting sqref="B172">
    <cfRule type="duplicateValues" dxfId="36" priority="31"/>
  </conditionalFormatting>
  <conditionalFormatting sqref="A172">
    <cfRule type="duplicateValues" dxfId="35" priority="30"/>
  </conditionalFormatting>
  <conditionalFormatting sqref="B202">
    <cfRule type="duplicateValues" dxfId="34" priority="28"/>
  </conditionalFormatting>
  <conditionalFormatting sqref="B202">
    <cfRule type="duplicateValues" dxfId="33" priority="29"/>
  </conditionalFormatting>
  <conditionalFormatting sqref="B255:B257">
    <cfRule type="duplicateValues" dxfId="32" priority="26"/>
  </conditionalFormatting>
  <conditionalFormatting sqref="B255:B257">
    <cfRule type="duplicateValues" dxfId="31" priority="27"/>
  </conditionalFormatting>
  <conditionalFormatting sqref="A255:A257">
    <cfRule type="duplicateValues" dxfId="30" priority="25"/>
  </conditionalFormatting>
  <conditionalFormatting sqref="B161">
    <cfRule type="duplicateValues" dxfId="29" priority="23"/>
  </conditionalFormatting>
  <conditionalFormatting sqref="B161">
    <cfRule type="duplicateValues" dxfId="28" priority="24"/>
  </conditionalFormatting>
  <conditionalFormatting sqref="A161">
    <cfRule type="duplicateValues" dxfId="27" priority="22"/>
  </conditionalFormatting>
  <conditionalFormatting sqref="B108">
    <cfRule type="duplicateValues" dxfId="26" priority="19"/>
  </conditionalFormatting>
  <conditionalFormatting sqref="A113 A108 A110">
    <cfRule type="duplicateValues" dxfId="25" priority="20"/>
  </conditionalFormatting>
  <conditionalFormatting sqref="B108">
    <cfRule type="duplicateValues" dxfId="24" priority="21"/>
  </conditionalFormatting>
  <conditionalFormatting sqref="B186">
    <cfRule type="duplicateValues" dxfId="23" priority="17"/>
  </conditionalFormatting>
  <conditionalFormatting sqref="A186">
    <cfRule type="duplicateValues" dxfId="22" priority="16"/>
  </conditionalFormatting>
  <conditionalFormatting sqref="B186">
    <cfRule type="duplicateValues" dxfId="21" priority="18"/>
  </conditionalFormatting>
  <conditionalFormatting sqref="B187">
    <cfRule type="duplicateValues" dxfId="20" priority="14"/>
  </conditionalFormatting>
  <conditionalFormatting sqref="A187">
    <cfRule type="duplicateValues" dxfId="19" priority="13"/>
  </conditionalFormatting>
  <conditionalFormatting sqref="B187">
    <cfRule type="duplicateValues" dxfId="18" priority="15"/>
  </conditionalFormatting>
  <conditionalFormatting sqref="B111">
    <cfRule type="duplicateValues" dxfId="17" priority="11"/>
  </conditionalFormatting>
  <conditionalFormatting sqref="A111">
    <cfRule type="duplicateValues" dxfId="16" priority="12"/>
  </conditionalFormatting>
  <conditionalFormatting sqref="B190">
    <cfRule type="duplicateValues" dxfId="15" priority="41"/>
  </conditionalFormatting>
  <conditionalFormatting sqref="A190">
    <cfRule type="duplicateValues" dxfId="14" priority="42"/>
  </conditionalFormatting>
  <conditionalFormatting sqref="B9:B10">
    <cfRule type="duplicateValues" dxfId="13" priority="8"/>
  </conditionalFormatting>
  <conditionalFormatting sqref="B9:B10">
    <cfRule type="duplicateValues" dxfId="12" priority="9"/>
  </conditionalFormatting>
  <conditionalFormatting sqref="A9:A10">
    <cfRule type="duplicateValues" dxfId="11" priority="10"/>
  </conditionalFormatting>
  <conditionalFormatting sqref="B212">
    <cfRule type="duplicateValues" dxfId="10" priority="4"/>
  </conditionalFormatting>
  <conditionalFormatting sqref="B211">
    <cfRule type="duplicateValues" dxfId="9" priority="5"/>
  </conditionalFormatting>
  <conditionalFormatting sqref="B211:B212">
    <cfRule type="duplicateValues" dxfId="8" priority="6"/>
  </conditionalFormatting>
  <conditionalFormatting sqref="A211:A212">
    <cfRule type="duplicateValues" dxfId="7" priority="7"/>
  </conditionalFormatting>
  <conditionalFormatting sqref="B244 B263:B1048576 B252:B254 B1:B5 B207:B210 B203 B258:B261">
    <cfRule type="duplicateValues" dxfId="6" priority="622"/>
  </conditionalFormatting>
  <conditionalFormatting sqref="A290:A1048576 A188:A189 A1:A8 A162:A171 A173:A185 A114:A160 A109 A112 A258:A280 A191:A210 A213:A254 A11:A90 A92:A107">
    <cfRule type="duplicateValues" dxfId="5" priority="644"/>
  </conditionalFormatting>
  <conditionalFormatting sqref="B239:B243 B205:B206 B188:B189 B6:B8 B86:B90 B165:B171 B173:B179 B109:B110 B112:B156 B11:B48 B191:B201 B245:B251 B216:B229 B93:B107">
    <cfRule type="duplicateValues" dxfId="4" priority="746"/>
  </conditionalFormatting>
  <conditionalFormatting sqref="B258:B1048576 B203:B210 B188:B189 B1:B8 B162:B171 B173:B185 B109:B110 B112:B160 B191:B201 B213:B254 B11:B90 B92:B107">
    <cfRule type="duplicateValues" dxfId="3" priority="762"/>
  </conditionalFormatting>
  <conditionalFormatting sqref="A91">
    <cfRule type="duplicateValues" dxfId="2" priority="1"/>
  </conditionalFormatting>
  <conditionalFormatting sqref="B91">
    <cfRule type="duplicateValues" dxfId="1" priority="2"/>
  </conditionalFormatting>
  <conditionalFormatting sqref="B91">
    <cfRule type="duplicateValues" dxfId="0" priority="3"/>
  </conditionalFormatting>
  <dataValidations count="1">
    <dataValidation type="list" allowBlank="1" showInputMessage="1" showErrorMessage="1" sqref="S207 S211:S212 S202:S205 S219:S239 S241:S245 S6:S200">
      <formula1>lstFarbe</formula1>
    </dataValidation>
  </dataValidations>
  <pageMargins left="0.7" right="0.7" top="0.78740157499999996" bottom="0.78740157499999996" header="0.3" footer="0.3"/>
  <pageSetup paperSize="8" scale="57" orientation="landscape" r:id="rId1"/>
  <colBreaks count="1" manualBreakCount="1"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46081" r:id="rId4" name="CommandButton1">
          <controlPr defaultSize="0" autoLine="0" r:id="rId5">
            <anchor moveWithCells="1">
              <from>
                <xdr:col>31</xdr:col>
                <xdr:colOff>190500</xdr:colOff>
                <xdr:row>0</xdr:row>
                <xdr:rowOff>104775</xdr:rowOff>
              </from>
              <to>
                <xdr:col>32</xdr:col>
                <xdr:colOff>152400</xdr:colOff>
                <xdr:row>2</xdr:row>
                <xdr:rowOff>85725</xdr:rowOff>
              </to>
            </anchor>
          </controlPr>
        </control>
      </mc:Choice>
      <mc:Fallback>
        <control shapeId="4608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50"/>
  <sheetViews>
    <sheetView topLeftCell="A16" workbookViewId="0">
      <selection activeCell="A30" sqref="A30:A33"/>
    </sheetView>
  </sheetViews>
  <sheetFormatPr baseColWidth="10" defaultColWidth="11.42578125" defaultRowHeight="15" x14ac:dyDescent="0.25"/>
  <cols>
    <col min="1" max="1" width="42.7109375" bestFit="1" customWidth="1"/>
    <col min="2" max="2" width="11.42578125" bestFit="1" customWidth="1"/>
    <col min="3" max="3" width="7.42578125" bestFit="1" customWidth="1"/>
    <col min="4" max="4" width="8.42578125" customWidth="1"/>
    <col min="5" max="5" width="9.42578125" bestFit="1" customWidth="1"/>
    <col min="6" max="6" width="7.42578125" bestFit="1" customWidth="1"/>
    <col min="7" max="7" width="11.42578125" bestFit="1" customWidth="1"/>
    <col min="8" max="8" width="12.42578125" bestFit="1" customWidth="1"/>
  </cols>
  <sheetData>
    <row r="1" spans="1:8" x14ac:dyDescent="0.25">
      <c r="A1" s="5" t="s">
        <v>8</v>
      </c>
      <c r="B1" s="5" t="s">
        <v>54</v>
      </c>
      <c r="C1" s="5" t="s">
        <v>55</v>
      </c>
      <c r="D1" s="5" t="s">
        <v>56</v>
      </c>
      <c r="E1" s="5" t="s">
        <v>57</v>
      </c>
      <c r="F1" s="5" t="s">
        <v>22</v>
      </c>
      <c r="G1" s="5" t="s">
        <v>23</v>
      </c>
      <c r="H1" s="5" t="s">
        <v>58</v>
      </c>
    </row>
    <row r="2" spans="1:8" x14ac:dyDescent="0.25">
      <c r="A2" s="2" t="s">
        <v>59</v>
      </c>
      <c r="B2" s="3"/>
      <c r="C2" s="2"/>
      <c r="D2" s="3"/>
      <c r="E2" s="2"/>
      <c r="F2" s="3"/>
      <c r="G2" s="3"/>
      <c r="H2" s="3" t="s">
        <v>60</v>
      </c>
    </row>
    <row r="3" spans="1:8" x14ac:dyDescent="0.25">
      <c r="A3" s="2" t="s">
        <v>36</v>
      </c>
      <c r="B3" s="3" t="s">
        <v>61</v>
      </c>
      <c r="C3" s="2" t="s">
        <v>62</v>
      </c>
      <c r="D3" s="3" t="s">
        <v>63</v>
      </c>
      <c r="E3" s="2">
        <v>290</v>
      </c>
      <c r="F3" s="3">
        <v>324</v>
      </c>
      <c r="G3" s="3" t="s">
        <v>64</v>
      </c>
      <c r="H3" s="3" t="s">
        <v>60</v>
      </c>
    </row>
    <row r="4" spans="1:8" x14ac:dyDescent="0.25">
      <c r="A4" s="2" t="s">
        <v>46</v>
      </c>
      <c r="B4" s="2" t="s">
        <v>65</v>
      </c>
      <c r="C4" s="2" t="s">
        <v>61</v>
      </c>
      <c r="D4" s="2" t="s">
        <v>63</v>
      </c>
      <c r="E4" s="2">
        <v>295</v>
      </c>
      <c r="F4" s="3" t="s">
        <v>64</v>
      </c>
      <c r="G4" s="3" t="s">
        <v>64</v>
      </c>
      <c r="H4" s="3" t="s">
        <v>60</v>
      </c>
    </row>
    <row r="5" spans="1:8" x14ac:dyDescent="0.25">
      <c r="A5" s="2" t="s">
        <v>52</v>
      </c>
      <c r="B5" s="2" t="s">
        <v>66</v>
      </c>
      <c r="C5" s="2" t="s">
        <v>61</v>
      </c>
      <c r="D5" s="2" t="s">
        <v>63</v>
      </c>
      <c r="E5" s="2">
        <v>279</v>
      </c>
      <c r="F5" s="3" t="s">
        <v>64</v>
      </c>
      <c r="G5" s="3" t="s">
        <v>64</v>
      </c>
      <c r="H5" s="3" t="s">
        <v>60</v>
      </c>
    </row>
    <row r="6" spans="1:8" x14ac:dyDescent="0.25">
      <c r="A6" s="2" t="s">
        <v>30</v>
      </c>
      <c r="B6" s="2" t="s">
        <v>67</v>
      </c>
      <c r="C6" s="2" t="s">
        <v>61</v>
      </c>
      <c r="D6" s="2" t="s">
        <v>63</v>
      </c>
      <c r="E6" s="2">
        <v>292</v>
      </c>
      <c r="F6" s="3" t="s">
        <v>64</v>
      </c>
      <c r="G6" s="3" t="s">
        <v>64</v>
      </c>
      <c r="H6" s="3" t="s">
        <v>60</v>
      </c>
    </row>
    <row r="7" spans="1:8" x14ac:dyDescent="0.25">
      <c r="A7" s="2" t="s">
        <v>39</v>
      </c>
      <c r="B7" s="2" t="s">
        <v>68</v>
      </c>
      <c r="C7" s="2" t="s">
        <v>61</v>
      </c>
      <c r="D7" s="2" t="s">
        <v>63</v>
      </c>
      <c r="E7" s="2">
        <v>291</v>
      </c>
      <c r="F7" s="3" t="s">
        <v>64</v>
      </c>
      <c r="G7" s="3" t="s">
        <v>64</v>
      </c>
      <c r="H7" s="3" t="s">
        <v>60</v>
      </c>
    </row>
    <row r="8" spans="1:8" x14ac:dyDescent="0.25">
      <c r="A8" s="2" t="s">
        <v>42</v>
      </c>
      <c r="B8" s="3" t="s">
        <v>60</v>
      </c>
      <c r="C8" s="2" t="s">
        <v>69</v>
      </c>
      <c r="D8" s="3" t="s">
        <v>60</v>
      </c>
      <c r="E8" s="2">
        <v>290</v>
      </c>
      <c r="F8" s="3" t="s">
        <v>64</v>
      </c>
      <c r="G8" s="3" t="s">
        <v>64</v>
      </c>
      <c r="H8" s="3" t="s">
        <v>60</v>
      </c>
    </row>
    <row r="9" spans="1:8" x14ac:dyDescent="0.25">
      <c r="A9" s="2" t="s">
        <v>37</v>
      </c>
      <c r="B9" s="3" t="s">
        <v>61</v>
      </c>
      <c r="C9" s="3" t="s">
        <v>62</v>
      </c>
      <c r="D9" s="3" t="s">
        <v>63</v>
      </c>
      <c r="E9" s="3">
        <v>290</v>
      </c>
      <c r="F9" s="3" t="s">
        <v>64</v>
      </c>
      <c r="G9" s="3" t="s">
        <v>64</v>
      </c>
      <c r="H9" s="3" t="s">
        <v>60</v>
      </c>
    </row>
    <row r="10" spans="1:8" x14ac:dyDescent="0.25">
      <c r="A10" s="2" t="s">
        <v>34</v>
      </c>
      <c r="B10" s="2" t="s">
        <v>61</v>
      </c>
      <c r="C10" s="2" t="s">
        <v>70</v>
      </c>
      <c r="D10" s="2" t="s">
        <v>63</v>
      </c>
      <c r="E10" s="4">
        <v>293</v>
      </c>
      <c r="F10" s="4">
        <v>323</v>
      </c>
      <c r="G10" s="4">
        <v>74</v>
      </c>
      <c r="H10" s="3" t="s">
        <v>60</v>
      </c>
    </row>
    <row r="11" spans="1:8" x14ac:dyDescent="0.25">
      <c r="A11" s="2" t="s">
        <v>71</v>
      </c>
      <c r="B11" s="2" t="s">
        <v>61</v>
      </c>
      <c r="C11" s="2" t="s">
        <v>61</v>
      </c>
      <c r="D11" s="2" t="s">
        <v>63</v>
      </c>
      <c r="E11" s="2">
        <v>293</v>
      </c>
      <c r="F11" s="3" t="s">
        <v>64</v>
      </c>
      <c r="G11" s="3" t="s">
        <v>64</v>
      </c>
      <c r="H11" s="3" t="s">
        <v>72</v>
      </c>
    </row>
    <row r="12" spans="1:8" x14ac:dyDescent="0.25">
      <c r="A12" s="2" t="s">
        <v>48</v>
      </c>
      <c r="B12" s="3" t="s">
        <v>60</v>
      </c>
      <c r="C12" s="2" t="s">
        <v>73</v>
      </c>
      <c r="D12" s="3" t="s">
        <v>74</v>
      </c>
      <c r="E12" s="2">
        <v>290</v>
      </c>
      <c r="F12" s="3" t="s">
        <v>64</v>
      </c>
      <c r="G12" s="3" t="s">
        <v>64</v>
      </c>
      <c r="H12" s="3" t="s">
        <v>60</v>
      </c>
    </row>
    <row r="13" spans="1:8" x14ac:dyDescent="0.25">
      <c r="A13" s="2" t="s">
        <v>47</v>
      </c>
      <c r="B13" s="3" t="s">
        <v>60</v>
      </c>
      <c r="C13" s="2" t="s">
        <v>75</v>
      </c>
      <c r="D13" s="3" t="s">
        <v>74</v>
      </c>
      <c r="E13" s="2">
        <v>290</v>
      </c>
      <c r="F13" s="3" t="s">
        <v>64</v>
      </c>
      <c r="G13" s="3" t="s">
        <v>64</v>
      </c>
      <c r="H13" s="3" t="s">
        <v>60</v>
      </c>
    </row>
    <row r="14" spans="1:8" x14ac:dyDescent="0.25">
      <c r="A14" s="2" t="s">
        <v>43</v>
      </c>
      <c r="B14" s="2" t="s">
        <v>61</v>
      </c>
      <c r="C14" s="2" t="s">
        <v>61</v>
      </c>
      <c r="D14" s="2" t="s">
        <v>63</v>
      </c>
      <c r="E14" s="2">
        <v>290</v>
      </c>
      <c r="F14" s="3" t="s">
        <v>64</v>
      </c>
      <c r="G14" s="3" t="s">
        <v>64</v>
      </c>
      <c r="H14" s="3" t="s">
        <v>60</v>
      </c>
    </row>
    <row r="15" spans="1:8" x14ac:dyDescent="0.25">
      <c r="A15" s="2" t="s">
        <v>29</v>
      </c>
      <c r="B15" s="3" t="s">
        <v>60</v>
      </c>
      <c r="C15" s="2" t="s">
        <v>76</v>
      </c>
      <c r="D15" s="3" t="s">
        <v>60</v>
      </c>
      <c r="E15" s="2">
        <v>290</v>
      </c>
      <c r="F15" s="3" t="s">
        <v>64</v>
      </c>
      <c r="G15" s="3" t="s">
        <v>64</v>
      </c>
      <c r="H15" s="3" t="s">
        <v>60</v>
      </c>
    </row>
    <row r="16" spans="1:8" x14ac:dyDescent="0.25">
      <c r="A16" s="2" t="s">
        <v>50</v>
      </c>
      <c r="B16" s="2" t="s">
        <v>61</v>
      </c>
      <c r="C16" s="2" t="s">
        <v>61</v>
      </c>
      <c r="D16" s="2" t="s">
        <v>63</v>
      </c>
      <c r="E16" s="2">
        <v>277</v>
      </c>
      <c r="F16" s="3" t="s">
        <v>64</v>
      </c>
      <c r="G16" s="3" t="s">
        <v>64</v>
      </c>
      <c r="H16" s="3" t="s">
        <v>60</v>
      </c>
    </row>
    <row r="19" spans="1:5" x14ac:dyDescent="0.25">
      <c r="A19" s="5" t="s">
        <v>15</v>
      </c>
      <c r="B19" s="5" t="s">
        <v>77</v>
      </c>
      <c r="E19" s="1"/>
    </row>
    <row r="20" spans="1:5" x14ac:dyDescent="0.25">
      <c r="A20" s="2" t="s">
        <v>35</v>
      </c>
      <c r="B20" s="2">
        <v>4</v>
      </c>
    </row>
    <row r="21" spans="1:5" x14ac:dyDescent="0.25">
      <c r="A21" s="2" t="s">
        <v>33</v>
      </c>
      <c r="B21" s="2">
        <v>7</v>
      </c>
    </row>
    <row r="22" spans="1:5" x14ac:dyDescent="0.25">
      <c r="A22" s="2" t="s">
        <v>44</v>
      </c>
      <c r="B22" s="2">
        <v>6</v>
      </c>
    </row>
    <row r="23" spans="1:5" x14ac:dyDescent="0.25">
      <c r="A23" s="2" t="s">
        <v>45</v>
      </c>
      <c r="B23" s="2">
        <v>5</v>
      </c>
    </row>
    <row r="24" spans="1:5" x14ac:dyDescent="0.25">
      <c r="A24" s="2" t="s">
        <v>38</v>
      </c>
      <c r="B24" s="2">
        <v>2</v>
      </c>
    </row>
    <row r="25" spans="1:5" x14ac:dyDescent="0.25">
      <c r="A25" s="2" t="s">
        <v>40</v>
      </c>
      <c r="B25" s="2">
        <v>1</v>
      </c>
    </row>
    <row r="26" spans="1:5" x14ac:dyDescent="0.25">
      <c r="A26" s="2"/>
      <c r="B26" s="2"/>
    </row>
    <row r="29" spans="1:5" x14ac:dyDescent="0.25">
      <c r="A29" s="5" t="s">
        <v>18</v>
      </c>
      <c r="B29" s="5" t="s">
        <v>78</v>
      </c>
    </row>
    <row r="30" spans="1:5" x14ac:dyDescent="0.25">
      <c r="A30" s="2" t="s">
        <v>41</v>
      </c>
      <c r="B30" s="2">
        <v>349</v>
      </c>
    </row>
    <row r="31" spans="1:5" x14ac:dyDescent="0.25">
      <c r="A31" s="2" t="s">
        <v>79</v>
      </c>
      <c r="B31" s="2">
        <v>351</v>
      </c>
    </row>
    <row r="32" spans="1:5" x14ac:dyDescent="0.25">
      <c r="A32" s="2" t="s">
        <v>49</v>
      </c>
      <c r="B32" s="2">
        <v>350</v>
      </c>
    </row>
    <row r="33" spans="1:2" x14ac:dyDescent="0.25">
      <c r="A33" s="2" t="s">
        <v>51</v>
      </c>
      <c r="B33" s="2">
        <v>352</v>
      </c>
    </row>
    <row r="36" spans="1:2" x14ac:dyDescent="0.25">
      <c r="A36" s="5" t="s">
        <v>18</v>
      </c>
      <c r="B36" s="5" t="s">
        <v>80</v>
      </c>
    </row>
    <row r="37" spans="1:2" x14ac:dyDescent="0.25">
      <c r="A37" s="2" t="s">
        <v>30</v>
      </c>
      <c r="B37" s="2">
        <v>1</v>
      </c>
    </row>
    <row r="38" spans="1:2" x14ac:dyDescent="0.25">
      <c r="A38" s="2" t="s">
        <v>32</v>
      </c>
      <c r="B38" s="2">
        <v>0</v>
      </c>
    </row>
    <row r="42" spans="1:2" x14ac:dyDescent="0.25">
      <c r="A42" s="5" t="s">
        <v>91</v>
      </c>
      <c r="B42" s="5" t="s">
        <v>92</v>
      </c>
    </row>
    <row r="43" spans="1:2" x14ac:dyDescent="0.25">
      <c r="A43" s="2" t="s">
        <v>84</v>
      </c>
      <c r="B43" s="2">
        <v>3610</v>
      </c>
    </row>
    <row r="44" spans="1:2" x14ac:dyDescent="0.25">
      <c r="A44" s="2" t="s">
        <v>85</v>
      </c>
      <c r="B44" s="2">
        <v>3611</v>
      </c>
    </row>
    <row r="45" spans="1:2" x14ac:dyDescent="0.25">
      <c r="A45" s="2" t="s">
        <v>86</v>
      </c>
      <c r="B45" s="2">
        <v>3620</v>
      </c>
    </row>
    <row r="46" spans="1:2" x14ac:dyDescent="0.25">
      <c r="A46" s="2" t="s">
        <v>87</v>
      </c>
      <c r="B46" s="2">
        <v>3621</v>
      </c>
    </row>
    <row r="47" spans="1:2" x14ac:dyDescent="0.25">
      <c r="A47" s="2" t="s">
        <v>88</v>
      </c>
      <c r="B47" s="2">
        <v>3622</v>
      </c>
    </row>
    <row r="48" spans="1:2" x14ac:dyDescent="0.25">
      <c r="A48" s="2" t="s">
        <v>89</v>
      </c>
      <c r="B48" s="2">
        <v>3623</v>
      </c>
    </row>
    <row r="49" spans="1:2" x14ac:dyDescent="0.25">
      <c r="A49" s="2" t="s">
        <v>90</v>
      </c>
      <c r="B49" s="2">
        <v>3624</v>
      </c>
    </row>
    <row r="50" spans="1:2" x14ac:dyDescent="0.25">
      <c r="A50" s="2" t="s">
        <v>94</v>
      </c>
      <c r="B50" s="2">
        <v>3625</v>
      </c>
    </row>
  </sheetData>
  <sortState ref="A2:H15">
    <sortCondition ref="A2"/>
  </sortState>
  <customSheetViews>
    <customSheetView guid="{3578C246-5799-4D3C-99B9-EF32BD7E5811}">
      <selection activeCell="E35" sqref="E35"/>
      <pageMargins left="0.7" right="0.7" top="0.78740157499999996" bottom="0.78740157499999996" header="0.3" footer="0.3"/>
      <pageSetup paperSize="9" orientation="portrait" r:id="rId1"/>
    </customSheetView>
  </customSheetViews>
  <pageMargins left="0.7" right="0.7" top="0.78740157499999996" bottom="0.78740157499999996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6A782DFA452B459E3866F1F1D65074" ma:contentTypeVersion="0" ma:contentTypeDescription="Create a new document." ma:contentTypeScope="" ma:versionID="c02045b7a863916726b75e50201653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971307-A2C3-4085-8B7D-E2498A9A5E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90CB09-946A-453A-8CC8-53A1371B93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4723FC-06BD-4FA6-ABD6-225187EFF84D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6</vt:i4>
      </vt:variant>
    </vt:vector>
  </HeadingPairs>
  <TitlesOfParts>
    <vt:vector size="8" baseType="lpstr">
      <vt:lpstr>RL_Vorlage_DE_EN_09.08.2017</vt:lpstr>
      <vt:lpstr>AnmeldeVSS-Attribute</vt:lpstr>
      <vt:lpstr>asas</vt:lpstr>
      <vt:lpstr>RL_Vorlage_DE_EN_09.08.2017!IDAnlass</vt:lpstr>
      <vt:lpstr>RL_Vorlage_DE_EN_09.08.2017!IDBenutzer</vt:lpstr>
      <vt:lpstr>lstFarbe</vt:lpstr>
      <vt:lpstr>RL_Vorlage_DE_EN_09.08.2017!x</vt:lpstr>
      <vt:lpstr>RL_Vorlage_DE_EN_09.08.2017!y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Rainer Holenstein</dc:creator>
  <cp:lastModifiedBy>Mlekusch Jan</cp:lastModifiedBy>
  <cp:revision/>
  <cp:lastPrinted>2017-01-16T10:25:06Z</cp:lastPrinted>
  <dcterms:created xsi:type="dcterms:W3CDTF">2016-01-29T06:57:15Z</dcterms:created>
  <dcterms:modified xsi:type="dcterms:W3CDTF">2018-02-06T16:13:27Z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0x010100616A782DFA452B459E3866F1F1D65074</vt:lpwstr>
  </property>
</Properties>
</file>